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qou\Downloads\"/>
    </mc:Choice>
  </mc:AlternateContent>
  <xr:revisionPtr revIDLastSave="0" documentId="8_{DAD1DC1F-4CAE-4861-B46B-C911B5BEC7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الأرصدة الافتتاحية" sheetId="1" r:id="rId1"/>
    <sheet name="الإرشادات" sheetId="2" r:id="rId2"/>
    <sheet name="أمثلة" sheetId="3" r:id="rId3"/>
    <sheet name="المطابقة" sheetId="4" r:id="rId4"/>
  </sheets>
  <definedNames>
    <definedName name="_xlnm._FilterDatabase" localSheetId="0" hidden="1">'الأرصدة الافتتاحية'!$A$1:$Q$199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6" i="4"/>
  <c r="B9" i="4" l="1"/>
  <c r="B14" i="4" s="1"/>
  <c r="B15" i="4" s="1"/>
  <c r="B8" i="4"/>
</calcChain>
</file>

<file path=xl/sharedStrings.xml><?xml version="1.0" encoding="utf-8"?>
<sst xmlns="http://schemas.openxmlformats.org/spreadsheetml/2006/main" count="1463" uniqueCount="666">
  <si>
    <t>itemId*</t>
  </si>
  <si>
    <t>name*</t>
  </si>
  <si>
    <t>category</t>
  </si>
  <si>
    <t>barcode</t>
  </si>
  <si>
    <t>uom*</t>
  </si>
  <si>
    <t>qty*</t>
  </si>
  <si>
    <t>qtyUom</t>
  </si>
  <si>
    <t>unitCost</t>
  </si>
  <si>
    <t>unitPrice</t>
  </si>
  <si>
    <t>currency</t>
  </si>
  <si>
    <t>lotNumber</t>
  </si>
  <si>
    <t>expiryDate</t>
  </si>
  <si>
    <t>minThreshold</t>
  </si>
  <si>
    <t>requiresColdChain</t>
  </si>
  <si>
    <t>warehouse</t>
  </si>
  <si>
    <t>sourceRef</t>
  </si>
  <si>
    <t>notes</t>
  </si>
  <si>
    <t>قالب الأرصدة الافتتاحية للمخزون — Inventory Opening Balances</t>
  </si>
  <si>
    <t>العميل: رويال العالمية للتجارة  •  DYCOS v12  •  تاريخ الإصدار: 2026-09-25  •  الملف متوافق مع شاشة «الأرصدة الافتتاحية ← استيراد»</t>
  </si>
  <si>
    <t>١) خطوات التعبئة</t>
  </si>
  <si>
    <t>خطوة 1</t>
  </si>
  <si>
    <t>افتح ورقة «الأرصدة الافتتاحية» واملأ البيانات ابتداءً من الصف الثاني. لا تغيّر أسماء الأعمدة ولا ترتيبها — الرؤوس مطابقة تمامًا لعقد الاستيراد في النظام.</t>
  </si>
  <si>
    <t>خطوة 2</t>
  </si>
  <si>
    <t>العلامة * تعني حقل إلزامي: itemId و name و uom و qty. باقي الأعمدة اختيارية، والأسطر الفارغة تُتخطى تلقائيًا أثناء الاستيراد.</t>
  </si>
  <si>
    <t>خطوة 3</t>
  </si>
  <si>
    <t>وحدة التخزين uom هي الوحدة التي تُقيَّد بها الأرصدة (مثل U-01 حبة)، ووحدة الكمية qtyUom هي وحدة إدخال رقم الكمية (مثل U-02 كرتون). اترك qtyUom فارغًا إن كانت مثل uom.</t>
  </si>
  <si>
    <t>خطوة 4</t>
  </si>
  <si>
    <t>قاعدة التحويل: (qty × معامل qtyUom) ÷ معامل uom = كمية صحيحة بوحدة التخزين. مثال: 3 كرتون × 12 ÷ 1 = 36 حبة. الكسور مسموحة ما دام الناتج صحيحًا (2.5 كرتون = 30 حبة) وإلا رُفض الصف.</t>
  </si>
  <si>
    <t>خطوة 5</t>
  </si>
  <si>
    <t>العملة: اختر من قائمة الـ12 عملة. unitCost و unitPrice بالعملة المختارة. قبل الاستيراد اضبط «أسعار الصرف» في النظام؛ أي عملة تختلف عن العملة الوظيفية بلا سعر صرف تُرفض أرصدتها.</t>
  </si>
  <si>
    <t>خطوة 6</t>
  </si>
  <si>
    <t>expiryDate بصيغة YYYY-MM-DD — عند الكتابة داخل Excel انسخ الصيغة النصية من ورقة «أمثلة» لضمان بقائها نصية كما يطلب النظام.</t>
  </si>
  <si>
    <t>خطوة 7</t>
  </si>
  <si>
    <t>ارفع الملف في النظام: المخزون ← الأرصدة الافتتاحية ← استيراد، فعّل «معاينة أولاً» لمراجعة الأخطاء والقيد المزدوج، ثم اعتمد. الحد الأقصى 5000 صف للاستيراد الواحد.</t>
  </si>
  <si>
    <t>خطوة 8</t>
  </si>
  <si>
    <t>warehouse: اكتب كود مستودع معرّف في شاشة «المستودعات» (مثل W-01) — اتركه فارغًا للافتراضي W-01. النظام يتحقق من وجود المستودع في المعاينة، وتُقيَّد الحركة والرصيد تحته.</t>
  </si>
  <si>
    <t>خطوة 9</t>
  </si>
  <si>
    <t>sourceRef و notes اختياريان: سجّل بهما مرجع مستند الجرد الفعلي وأي ملاحظة حالة — يُحفظان في حركة المخزون المقابلة كأثر تدقيقي لا يُحذف.</t>
  </si>
  <si>
    <t>٢) قاموس الأعمدة (17 عمودًا — الرؤوس المطلوبة حرفيًا)</t>
  </si>
  <si>
    <t>كود العمود</t>
  </si>
  <si>
    <t>الاسم بالعربية</t>
  </si>
  <si>
    <t>إلزامي</t>
  </si>
  <si>
    <t>الصيغة/النوع</t>
  </si>
  <si>
    <t>مثال</t>
  </si>
  <si>
    <t>ملاحظات</t>
  </si>
  <si>
    <t>كود الصنف</t>
  </si>
  <si>
    <t>نعم</t>
  </si>
  <si>
    <t>نص فريد</t>
  </si>
  <si>
    <t>PRF-100</t>
  </si>
  <si>
    <t>فريد داخل الملف وقاعدة البيانات — الكود الموجود تُضاف إليه الكمية</t>
  </si>
  <si>
    <t>اسم الصنف</t>
  </si>
  <si>
    <t>نص</t>
  </si>
  <si>
    <t>عطر مسك ملكي 100مل</t>
  </si>
  <si>
    <t>يظهر في الفواتير والتقارير</t>
  </si>
  <si>
    <t>التصنيف</t>
  </si>
  <si>
    <t>لا</t>
  </si>
  <si>
    <t>عطور</t>
  </si>
  <si>
    <t>للتجميع والفلترة</t>
  </si>
  <si>
    <t>الباركود</t>
  </si>
  <si>
    <t>6280000000000</t>
  </si>
  <si>
    <t>خلية نصية تحفظ الأصفار البادئة</t>
  </si>
  <si>
    <t>وحدة التخزين</t>
  </si>
  <si>
    <t>رمز وحدة</t>
  </si>
  <si>
    <t>U-01</t>
  </si>
  <si>
    <t>يجب أن تكون معرّفة في شاشة وحدات القياس</t>
  </si>
  <si>
    <t>الكمية</t>
  </si>
  <si>
    <t>رقم ≥ 0</t>
  </si>
  <si>
    <t>24</t>
  </si>
  <si>
    <t>بوحدة qtyUom — تتحول لوحدة التخزين بمعامل صحيح</t>
  </si>
  <si>
    <t>وحدة الكمية</t>
  </si>
  <si>
    <t>U-02</t>
  </si>
  <si>
    <t>فارغة تعادل uom</t>
  </si>
  <si>
    <t>تكلفة الوحدة</t>
  </si>
  <si>
    <t>210</t>
  </si>
  <si>
    <t>بالعملة المختارة — تُحتسب بها قيمة القيد الافتتاحي</t>
  </si>
  <si>
    <t>سعر البيع</t>
  </si>
  <si>
    <t>350</t>
  </si>
  <si>
    <t>يُحفظ كسعر البيع (يحدَّث إن كان الصنف موجودًا)</t>
  </si>
  <si>
    <t>العملة</t>
  </si>
  <si>
    <t>لا — افتراضي العملة الوظيفية</t>
  </si>
  <si>
    <t>رمز من 12</t>
  </si>
  <si>
    <t>SAR</t>
  </si>
  <si>
    <t>راجع قسم العملات أدناه</t>
  </si>
  <si>
    <t>رقم التشغيلة</t>
  </si>
  <si>
    <t>LOT-2026-A</t>
  </si>
  <si>
    <t>للتتبّع بالدفعات</t>
  </si>
  <si>
    <t>تاريخ الانتهاء</t>
  </si>
  <si>
    <t>YYYY-MM-DD</t>
  </si>
  <si>
    <t>2027-08-01</t>
  </si>
  <si>
    <t>للأصناف ذات الصلاحية</t>
  </si>
  <si>
    <t>الحد الأدنى للطلب</t>
  </si>
  <si>
    <t>صحيح ≥ 0</t>
  </si>
  <si>
    <t>6</t>
  </si>
  <si>
    <t>حد إعادة الطلب</t>
  </si>
  <si>
    <t>يتطلب سلسلة تبريد</t>
  </si>
  <si>
    <t>نعم/لا</t>
  </si>
  <si>
    <t>يُستخدم في تنبيهات التبريد والصلاحية</t>
  </si>
  <si>
    <t>المستودع</t>
  </si>
  <si>
    <t>لا — افتراضي W-01</t>
  </si>
  <si>
    <t>كود مستودع</t>
  </si>
  <si>
    <t>W-01</t>
  </si>
  <si>
    <t>يجب أن يكون معرّفًا في النظام — يُتحقق في المعاينة</t>
  </si>
  <si>
    <t>مرجع المستند</t>
  </si>
  <si>
    <t>نص ≤ 120</t>
  </si>
  <si>
    <t>جرد-2026-001</t>
  </si>
  <si>
    <t>مرجع مستند الجرد/الاستلام — يُحفظ في حركة المخزون</t>
  </si>
  <si>
    <t>نص ≤ 400</t>
  </si>
  <si>
    <t>مطابق للجرد الفعلي</t>
  </si>
  <si>
    <t>ملاحظة حالة البضاعة — تُحفظ في حركة المخزون</t>
  </si>
  <si>
    <t>٣) وحدات القياس والكسور (القيم الافتراضية)</t>
  </si>
  <si>
    <t>الكود</t>
  </si>
  <si>
    <t>الاسم</t>
  </si>
  <si>
    <t>المعامل</t>
  </si>
  <si>
    <t>حبة</t>
  </si>
  <si>
    <t>1</t>
  </si>
  <si>
    <t>وحدة الأساس — الرصيد يُقيَّد بها</t>
  </si>
  <si>
    <t>كرتون</t>
  </si>
  <si>
    <t>12</t>
  </si>
  <si>
    <t>1 كرتون = 12 حبة</t>
  </si>
  <si>
    <t>U-03</t>
  </si>
  <si>
    <t>كيس</t>
  </si>
  <si>
    <t>لأصناف التعبئة بالكيس</t>
  </si>
  <si>
    <t>أي وحدة إضافية يجب تعريفها في شاشة «وحدات القياس» قبل الاستيراد، وإلا رُفض الصف بخطأ «وحدة قياس غير معروفة». معامل الوحدة = عدد الوحدات الأساس داخلها. الكسور في qty مسموحة ما دام الناتج بعد التحويل عددًا صحيحًا.</t>
  </si>
  <si>
    <t>٤) العملات المدعومة (12)</t>
  </si>
  <si>
    <t>SAR  •  YER  •  USD  •  AED  •  EGP  •  JOD  •  KWD  •  QAR  •  BHD  •  OMR  •  GBP  •  EUR</t>
  </si>
  <si>
    <t>٥) القيد المحاسبي الناتج</t>
  </si>
  <si>
    <t>عند الاعتماد يُنشأ قيد افتتاحي متوازن تلقائيًا: مدين ACC-1200 «المخزون» بمجموع (الكمية المحوّلة × تكلفة الوحدة) بالعملة الوظيفية، ودائن ACC-3020 «الأرباح المبقاة (أرصدة افتتاحية)». لا يُنشأ أي قيد قبل نجاح المعاينة والاعتماد.</t>
  </si>
  <si>
    <t>٦) سلوك الاستيراد عند الاعتماد</t>
  </si>
  <si>
    <t>• كود جديد ⇒ إنشاء الصنف + رصيد أولي + حركة مخزون IN.</t>
  </si>
  <si>
    <t>• كود موجود ⇒ زيادة رصيد الصنف بالكمية المحوّلة + تحديث سعر البيع إن ملأت unitPrice + حركة مخزون.</t>
  </si>
  <si>
    <t>• تكرار الكود مرتين داخل نفس الملف ⇒ رفض الصفوف المكررة.</t>
  </si>
  <si>
    <t>• تكرار الباركود بين صنفين داخل نفس الملف ⇒ رفض الصفوف المكررة.</t>
  </si>
  <si>
    <t>• warehouse غير معرّف في المستودعات ⇒ رفض الصف مع رسالة توضيحية.</t>
  </si>
  <si>
    <t>• الأصناف بلا تكلفة مسموحة — تُقيَّد قيمتها صفرًا في القيد الافتتاحي.</t>
  </si>
  <si>
    <t>٧) حدود ومعايير الجودة</t>
  </si>
  <si>
    <t>• الحد الأقصى 5000 صف للاستيراد الواحد — قسّم الملف إن زاد.</t>
  </si>
  <si>
    <t>• الأسطر الفارغة تُتخطى تلقائيًا؛ ولا تترك صفوفًا ناقصة داخل النطاق.</t>
  </si>
  <si>
    <t>• ورقة «أمثلة» مرجع توضيحي فقط — انسخ صفوفها إلى ورقة «الأرصدة الافتتاحية» إن رغبت، ولا تُستورد مباشرة.</t>
  </si>
  <si>
    <t>• الملف مجهّز بقوائم منسدلة وتنسيقات خلية (تاريخ/أرقام/نصوص) لتقليل أخطاء الإدخال.</t>
  </si>
  <si>
    <t>٨) ورقة المطابقة والاعتماد (إلزامية قبل الرفع)</t>
  </si>
  <si>
    <t>ورقة «المطابقة» تحوي صيغًا حيّة: عدد الأصناف، إجمالي الكمية، ومجموع (qty × unitCost) — تتحدث تلقائيًا مع كل صف تُضيفه.</t>
  </si>
  <si>
    <t>املأ خانة «قيمة القيد ACC-1200» برقم المعاينة في النظام؛ الفرق مع مجموع الملف يجب أن يكون 0.00 قبل الاعتماد.</t>
  </si>
  <si>
    <t>كتلة الاعتماد (مُعِدّ / مُراجع / تاريخان / مرجع مستند الجرد) إلزامية — تُسجَّل مع عملية الاستيراد في سجل النظام.</t>
  </si>
  <si>
    <t>GRC-500</t>
  </si>
  <si>
    <t>حليب مجفف 500ج</t>
  </si>
  <si>
    <t>أغذية</t>
  </si>
  <si>
    <t>6281000000011</t>
  </si>
  <si>
    <t>USD</t>
  </si>
  <si>
    <t>LOT-2026-B</t>
  </si>
  <si>
    <t>2026-12-31</t>
  </si>
  <si>
    <t>W-02</t>
  </si>
  <si>
    <t>استلام بارد عند الفتح</t>
  </si>
  <si>
    <t>WTR-019</t>
  </si>
  <si>
    <t>مياه معدنية 600مل (كرتون)</t>
  </si>
  <si>
    <t>مشروبات</t>
  </si>
  <si>
    <t>6282000000025</t>
  </si>
  <si>
    <t>مرجع توضيحي فقط — انسخ الصفوف إلى ورقة «الأرصدة الافتتاحية» إن رغبت، ولا تُستورد هذه الورقة مباشرة.</t>
  </si>
  <si>
    <t>المطابقة والاعتماد — Reconciliation &amp; Sign-off</t>
  </si>
  <si>
    <t>العميل: رويال العالمية للتجارة — أكمل هذه الورقة قبل رفع الملف؛ صيغ Excel تتحدث تلقائيًا مع كل صف في ورقة البيانات.</t>
  </si>
  <si>
    <t>أ) إجماليات حيّة (صيغ تلقائية)</t>
  </si>
  <si>
    <t>البند</t>
  </si>
  <si>
    <t>القيمة</t>
  </si>
  <si>
    <t>الشرح</t>
  </si>
  <si>
    <t>عدد الأصناف المُدخلة</t>
  </si>
  <si>
    <t>أسطر الكود غير الفارغة</t>
  </si>
  <si>
    <t>إجمالي الكمية (كما أُدخلت)</t>
  </si>
  <si>
    <t>بوحدات الإدخال qtyUom — لم تُحوَّل بعد لوحدة التخزين</t>
  </si>
  <si>
    <t>عدد الأصناف ذات تكلفة</t>
  </si>
  <si>
    <t>صفوف unitCost أكبر من صفر</t>
  </si>
  <si>
    <t>مجموع (qty × unitCost) — تقريبي</t>
  </si>
  <si>
    <t>* يفترض وحدة إدخال = وحدة تخزين وعملة واحدة — الرقم المعتمد هو قيمة القيد في معاينة النظام.</t>
  </si>
  <si>
    <t>ب) مطابقة بقيمة القيد (املأها بعد المعاينة — الفرق يجب أن يكون 0.00)</t>
  </si>
  <si>
    <t>قيمة القيد ACC-1200 (من معاينة النظام)</t>
  </si>
  <si>
    <t>انسخ رقم totalCostFnl من نتيجة المعاينة قبل الاعتماد</t>
  </si>
  <si>
    <t>مجموع هذا الملف (السطر التقريبي أعلاه)</t>
  </si>
  <si>
    <t>مرجع المقارنة</t>
  </si>
  <si>
    <t>الفرق (يجب 0.00)</t>
  </si>
  <si>
    <t>أي فرق غير صفر = توقف: راجع الوحدات والعملات والصفوف المكررة قبل الاعتماد.</t>
  </si>
  <si>
    <t>ج) الاعتماد (إلزامي قبل الرفع)</t>
  </si>
  <si>
    <t>البيان</t>
  </si>
  <si>
    <t>إرشاد</t>
  </si>
  <si>
    <t>مُعِدّة البيانات</t>
  </si>
  <si>
    <t>الاسم الكامل</t>
  </si>
  <si>
    <t>تاريخ الإعداد</t>
  </si>
  <si>
    <t>المُراجع / المعتمد</t>
  </si>
  <si>
    <t>يختلف عن مُعِدّ البيانات (فصل المهام)</t>
  </si>
  <si>
    <t>تاريخ المراجعة</t>
  </si>
  <si>
    <t>مرجع مستند الجرد الفعلي</t>
  </si>
  <si>
    <t>رقم وتاريخ جرد التنفيذ — يُطابق مع sourceRef في الصفوف</t>
  </si>
  <si>
    <t>لا يُعتمد الملف في النظام قبل اكتمال كتلة الاعتماد وتساوي الفرق 0 — تُسجَّل هذه البيانات مع عملية الاستيراد في سجل النظام.</t>
  </si>
  <si>
    <t>GMN4113</t>
  </si>
  <si>
    <t xml:space="preserve">عطر جسم 88 مل </t>
  </si>
  <si>
    <t>6930792316451</t>
  </si>
  <si>
    <t>GMN4114</t>
  </si>
  <si>
    <t>عطر جسم 90 مل</t>
  </si>
  <si>
    <t>6930792316444</t>
  </si>
  <si>
    <t xml:space="preserve">طقم لوشن وعطر </t>
  </si>
  <si>
    <t>GMN4115</t>
  </si>
  <si>
    <t>6930792316437</t>
  </si>
  <si>
    <t>GMN3351</t>
  </si>
  <si>
    <t xml:space="preserve">مخمرية </t>
  </si>
  <si>
    <t>6930792313535</t>
  </si>
  <si>
    <t>GMN3358</t>
  </si>
  <si>
    <t>6930792313559</t>
  </si>
  <si>
    <t>GMN3359</t>
  </si>
  <si>
    <t>6930792313566</t>
  </si>
  <si>
    <t>GMN4447</t>
  </si>
  <si>
    <t>Lip gloss - ملمع شفاه</t>
  </si>
  <si>
    <t>GMN4023</t>
  </si>
  <si>
    <t>Lipstick - أحمر الشفاه</t>
  </si>
  <si>
    <t>GMN4402</t>
  </si>
  <si>
    <t>GMN4403</t>
  </si>
  <si>
    <t>Lip gloss + hair clip</t>
  </si>
  <si>
    <t>GMN4404</t>
  </si>
  <si>
    <t>GMN4405</t>
  </si>
  <si>
    <t>Mirror - مرايا</t>
  </si>
  <si>
    <t>GMN4433</t>
  </si>
  <si>
    <t>GMN4434</t>
  </si>
  <si>
    <t>GMN4435</t>
  </si>
  <si>
    <t>Comb - مشط</t>
  </si>
  <si>
    <t>GMN4436</t>
  </si>
  <si>
    <t>Nail clippers - مقص أظافر</t>
  </si>
  <si>
    <t>GMN4438</t>
  </si>
  <si>
    <t>Water bottle - قارورة ماء</t>
  </si>
  <si>
    <t>GMN4421</t>
  </si>
  <si>
    <t>Hand Mask - ماسك اليد</t>
  </si>
  <si>
    <t>GMN4423</t>
  </si>
  <si>
    <t>GMN4424</t>
  </si>
  <si>
    <t>Foot Mask- ماسك القدم</t>
  </si>
  <si>
    <t>GMN4425</t>
  </si>
  <si>
    <t>GMN4522</t>
  </si>
  <si>
    <t>lip gloss - ملمع شفاه</t>
  </si>
  <si>
    <t>GMN4523</t>
  </si>
  <si>
    <t>GMN4524</t>
  </si>
  <si>
    <t>GMN4221</t>
  </si>
  <si>
    <t>Blusher - بلاشر</t>
  </si>
  <si>
    <t>GMN4223</t>
  </si>
  <si>
    <t>Lipliner - محدد الشفاه</t>
  </si>
  <si>
    <t>GMN4215</t>
  </si>
  <si>
    <t>Lip Tint- تنت شفاه</t>
  </si>
  <si>
    <t>GMN4216</t>
  </si>
  <si>
    <t>GMN4525</t>
  </si>
  <si>
    <t>nail polish- طلاء أظافر</t>
  </si>
  <si>
    <t>GMN4220</t>
  </si>
  <si>
    <t>Ey eliner- الايلاينر</t>
  </si>
  <si>
    <t>GMN4526</t>
  </si>
  <si>
    <t>GMN4453</t>
  </si>
  <si>
    <t>Toy - لعبة</t>
  </si>
  <si>
    <t>GMN4473</t>
  </si>
  <si>
    <t>Soapwort</t>
  </si>
  <si>
    <t>GMN4472</t>
  </si>
  <si>
    <t>GMN4475</t>
  </si>
  <si>
    <t>GMN2740</t>
  </si>
  <si>
    <t>Charcoal Tongs - ملقط الفحم</t>
  </si>
  <si>
    <t>GMN3982</t>
  </si>
  <si>
    <t>makeup brush- فرش مكياج</t>
  </si>
  <si>
    <t>GMN3980</t>
  </si>
  <si>
    <t>GMN3981</t>
  </si>
  <si>
    <t>GMN3984</t>
  </si>
  <si>
    <t>GMN4365</t>
  </si>
  <si>
    <t>Makeup bag- حقيبة</t>
  </si>
  <si>
    <t>GMN3840-1</t>
  </si>
  <si>
    <t>Perfume- عطر فانيلا</t>
  </si>
  <si>
    <t>GMN3840-2</t>
  </si>
  <si>
    <t>Perfume - عطر سويت لوف</t>
  </si>
  <si>
    <t>GMN3840-3</t>
  </si>
  <si>
    <t>Perfume - عطر فلور</t>
  </si>
  <si>
    <t>Perfume - عطر</t>
  </si>
  <si>
    <t>GMN3028</t>
  </si>
  <si>
    <t>Body spray - عطر</t>
  </si>
  <si>
    <t>GMN4399</t>
  </si>
  <si>
    <t>perfume - عطر</t>
  </si>
  <si>
    <t>GMN4400</t>
  </si>
  <si>
    <t>GMN2876</t>
  </si>
  <si>
    <t>GMN3752</t>
  </si>
  <si>
    <t>Bath Set- طقم لوشن وعطر</t>
  </si>
  <si>
    <t>GMN4280</t>
  </si>
  <si>
    <t>Facial mask- ماسك الوجه</t>
  </si>
  <si>
    <t>GMN4281</t>
  </si>
  <si>
    <t>GMN4282</t>
  </si>
  <si>
    <t>Lotion - لوشن</t>
  </si>
  <si>
    <t>GMN4481</t>
  </si>
  <si>
    <t>Spray - عطر</t>
  </si>
  <si>
    <t>GMN4342</t>
  </si>
  <si>
    <t>Lipstick- مرطب شفاه</t>
  </si>
  <si>
    <t>GMN4350</t>
  </si>
  <si>
    <t>Hand Cream- لوشن</t>
  </si>
  <si>
    <t>GMN4511</t>
  </si>
  <si>
    <t>GMN4550</t>
  </si>
  <si>
    <t>Foundation - فوندابشن</t>
  </si>
  <si>
    <t>GMN4512</t>
  </si>
  <si>
    <t>GMN4513</t>
  </si>
  <si>
    <t>GMN4514</t>
  </si>
  <si>
    <t>GMN4515</t>
  </si>
  <si>
    <t>GMN4516</t>
  </si>
  <si>
    <t>GMN4517</t>
  </si>
  <si>
    <t>GMN4518</t>
  </si>
  <si>
    <t>GMN4519</t>
  </si>
  <si>
    <t>GMN4520</t>
  </si>
  <si>
    <t>GMN4521</t>
  </si>
  <si>
    <t>GMN4283</t>
  </si>
  <si>
    <t>Facial mask - قناع الوجه</t>
  </si>
  <si>
    <t>GMN4290</t>
  </si>
  <si>
    <t>GMN4129</t>
  </si>
  <si>
    <t>GMN4128</t>
  </si>
  <si>
    <t>Hand mask- ماسك اليد</t>
  </si>
  <si>
    <t>GMN4284</t>
  </si>
  <si>
    <t>GMN4052</t>
  </si>
  <si>
    <t>makeup - مكياج</t>
  </si>
  <si>
    <t>GMN3683</t>
  </si>
  <si>
    <t>perfume- عطر أطفال</t>
  </si>
  <si>
    <t>GMN3059</t>
  </si>
  <si>
    <t>GMN3057</t>
  </si>
  <si>
    <t>GMN3058</t>
  </si>
  <si>
    <t>GMN3663</t>
  </si>
  <si>
    <t>GMN4116</t>
  </si>
  <si>
    <t>Rose soap - صابون ورد</t>
  </si>
  <si>
    <t>GMN3513</t>
  </si>
  <si>
    <t>GMN3514</t>
  </si>
  <si>
    <t>GMN4211</t>
  </si>
  <si>
    <t>Hairpin - دبوس الشعر</t>
  </si>
  <si>
    <t>GMN3634</t>
  </si>
  <si>
    <t>Hair hoop- ربطة شعر</t>
  </si>
  <si>
    <t>GMN4212</t>
  </si>
  <si>
    <t>GMN4539</t>
  </si>
  <si>
    <t>Beauty blender- بيوتي بلندر</t>
  </si>
  <si>
    <t>GMN4357</t>
  </si>
  <si>
    <t>wet wipes- مناديل مبللة</t>
  </si>
  <si>
    <t>GMN3332</t>
  </si>
  <si>
    <t>Tissue Box- علبة مناديل</t>
  </si>
  <si>
    <t>GMN4352</t>
  </si>
  <si>
    <t>Hand Cream- كريم اليد</t>
  </si>
  <si>
    <t>GMN4474</t>
  </si>
  <si>
    <t>GMN4232</t>
  </si>
  <si>
    <t>GMN4427</t>
  </si>
  <si>
    <t>Facial mask - ماسك الوجه</t>
  </si>
  <si>
    <t>GMN4428</t>
  </si>
  <si>
    <t>GMN4431</t>
  </si>
  <si>
    <t>GMN3843</t>
  </si>
  <si>
    <t>GMN3837</t>
  </si>
  <si>
    <t>Lotion set - طقم لوشن خاص</t>
  </si>
  <si>
    <t>GMN4104</t>
  </si>
  <si>
    <t>Lotion set - طقم لوشن</t>
  </si>
  <si>
    <t>GMN3416</t>
  </si>
  <si>
    <t>Set lotion and perfume - طقم لوشن مع عطر</t>
  </si>
  <si>
    <t>GMN3838-1</t>
  </si>
  <si>
    <t>GMN3838-2</t>
  </si>
  <si>
    <t>GMN3839</t>
  </si>
  <si>
    <t>GMN3519</t>
  </si>
  <si>
    <t>GMN2219</t>
  </si>
  <si>
    <t>Air freshener - فواحة</t>
  </si>
  <si>
    <t>GMN2926</t>
  </si>
  <si>
    <t>Candle - شمع</t>
  </si>
  <si>
    <t>GMN4292</t>
  </si>
  <si>
    <t>GMN4360</t>
  </si>
  <si>
    <t>Hand Cream - كريم اليد</t>
  </si>
  <si>
    <t>GMN4265</t>
  </si>
  <si>
    <t>GMN4258</t>
  </si>
  <si>
    <t>GMN4264</t>
  </si>
  <si>
    <t>GMN3437</t>
  </si>
  <si>
    <t>lotion - لوشن</t>
  </si>
  <si>
    <t>GMN4259</t>
  </si>
  <si>
    <t>Shampoo</t>
  </si>
  <si>
    <t>GMN4266</t>
  </si>
  <si>
    <t>GMN4260</t>
  </si>
  <si>
    <t>shower gel</t>
  </si>
  <si>
    <t>GMN4359</t>
  </si>
  <si>
    <t>GMN4267</t>
  </si>
  <si>
    <t>Moisturizer - مرطب</t>
  </si>
  <si>
    <t>GMN4268</t>
  </si>
  <si>
    <t>Shower Set</t>
  </si>
  <si>
    <t>GMN3492</t>
  </si>
  <si>
    <t>Shower gel - سائل استحمام</t>
  </si>
  <si>
    <t>GMN4286</t>
  </si>
  <si>
    <t>GMN4288</t>
  </si>
  <si>
    <t>GMN4105</t>
  </si>
  <si>
    <t>GMN3983</t>
  </si>
  <si>
    <t>makeup brush - فرش مكياج</t>
  </si>
  <si>
    <t>طقم اللبان</t>
  </si>
  <si>
    <t>GMN4026</t>
  </si>
  <si>
    <t>GMN4442</t>
  </si>
  <si>
    <t>GMN4443</t>
  </si>
  <si>
    <t>GMN4444</t>
  </si>
  <si>
    <t>GMN4445</t>
  </si>
  <si>
    <t>مكياج</t>
  </si>
  <si>
    <t>ظلال العيون</t>
  </si>
  <si>
    <t>ملمع شفاه</t>
  </si>
  <si>
    <t>6923491687304</t>
  </si>
  <si>
    <t>6923491687311</t>
  </si>
  <si>
    <t>6923491687397</t>
  </si>
  <si>
    <t>4897138054540</t>
  </si>
  <si>
    <t>6936664363127</t>
  </si>
  <si>
    <t>6971764122557</t>
  </si>
  <si>
    <t>6914600249490</t>
  </si>
  <si>
    <t>6932616122842</t>
  </si>
  <si>
    <t>6971606090563</t>
  </si>
  <si>
    <t>6947790579146</t>
  </si>
  <si>
    <t>6947790579153</t>
  </si>
  <si>
    <t>6944348546681</t>
  </si>
  <si>
    <t>6978435548111</t>
  </si>
  <si>
    <t>6936664339375</t>
  </si>
  <si>
    <t>6973100282413</t>
  </si>
  <si>
    <t>6977851899364</t>
  </si>
  <si>
    <t>6977851899401</t>
  </si>
  <si>
    <t>6972064310101</t>
  </si>
  <si>
    <t>6972290986125</t>
  </si>
  <si>
    <t>6971887372150</t>
  </si>
  <si>
    <t>6972393151819</t>
  </si>
  <si>
    <t>6975786480169</t>
  </si>
  <si>
    <t>6972589860013</t>
  </si>
  <si>
    <t>6975115203353</t>
  </si>
  <si>
    <t>6977017883503</t>
  </si>
  <si>
    <t>6971867379049</t>
  </si>
  <si>
    <t>6972857370077</t>
  </si>
  <si>
    <t>6924421000002</t>
  </si>
  <si>
    <t>6924423000000</t>
  </si>
  <si>
    <t>6976289198056</t>
  </si>
  <si>
    <t>6972857200398</t>
  </si>
  <si>
    <t>6972857372262</t>
  </si>
  <si>
    <t>6976289199541</t>
  </si>
  <si>
    <t>6937454000208</t>
  </si>
  <si>
    <t>6976289198667</t>
  </si>
  <si>
    <t>6937454000635</t>
  </si>
  <si>
    <t>6976289190005</t>
  </si>
  <si>
    <t>6978563750820</t>
  </si>
  <si>
    <t>6932024102603</t>
  </si>
  <si>
    <t>6973578918500</t>
  </si>
  <si>
    <t>6973578918302</t>
  </si>
  <si>
    <t>6978563750837</t>
  </si>
  <si>
    <t>6978563750646</t>
  </si>
  <si>
    <t>6978563750424</t>
  </si>
  <si>
    <t>6927060220763</t>
  </si>
  <si>
    <t>6927060260479</t>
  </si>
  <si>
    <t>8806428060471</t>
  </si>
  <si>
    <t>6941073697848</t>
  </si>
  <si>
    <t>6941073690924</t>
  </si>
  <si>
    <t>6924424000009</t>
  </si>
  <si>
    <t>6924425000008</t>
  </si>
  <si>
    <t>6971816015103</t>
  </si>
  <si>
    <t>6972857300432</t>
  </si>
  <si>
    <t>6924453202603</t>
  </si>
  <si>
    <t>6920251229026</t>
  </si>
  <si>
    <t>6920251229019</t>
  </si>
  <si>
    <t>6920251229033</t>
  </si>
  <si>
    <t>9720000624280</t>
  </si>
  <si>
    <t>9720000624266</t>
  </si>
  <si>
    <t>9720000624273</t>
  </si>
  <si>
    <t>6973578917398</t>
  </si>
  <si>
    <t>6922740000000</t>
  </si>
  <si>
    <t>6976870043659</t>
  </si>
  <si>
    <t>6941568256314</t>
  </si>
  <si>
    <t>6974495297853</t>
  </si>
  <si>
    <t>6974495297846</t>
  </si>
  <si>
    <t>6947790543529</t>
  </si>
  <si>
    <t>6947790546261</t>
  </si>
  <si>
    <t>6976082025382</t>
  </si>
  <si>
    <t>6972290981892</t>
  </si>
  <si>
    <t>6936664313931</t>
  </si>
  <si>
    <t>6922609540791</t>
  </si>
  <si>
    <t>6922609536732</t>
  </si>
  <si>
    <t>6922609534745</t>
  </si>
  <si>
    <t>6930792315287</t>
  </si>
  <si>
    <t>6924420186578</t>
  </si>
  <si>
    <t>6974495293398</t>
  </si>
  <si>
    <t>6974495293411</t>
  </si>
  <si>
    <t>6973578921227</t>
  </si>
  <si>
    <t>6913800943572</t>
  </si>
  <si>
    <t>6973876961185</t>
  </si>
  <si>
    <t>6932043008535</t>
  </si>
  <si>
    <t>6935539616733</t>
  </si>
  <si>
    <t>6924427694809</t>
  </si>
  <si>
    <t>6924428694815</t>
  </si>
  <si>
    <t>6944348555829</t>
  </si>
  <si>
    <t>6924431694840</t>
  </si>
  <si>
    <t>6923491687298</t>
  </si>
  <si>
    <t>6944348552491</t>
  </si>
  <si>
    <t>6944348552484</t>
  </si>
  <si>
    <t>6923491687359</t>
  </si>
  <si>
    <t>6923491687342</t>
  </si>
  <si>
    <t>6923491687380</t>
  </si>
  <si>
    <t>6920240029262</t>
  </si>
  <si>
    <t>6920258022194</t>
  </si>
  <si>
    <t>6976082025719</t>
  </si>
  <si>
    <t>6913800943603</t>
  </si>
  <si>
    <t>6913800942583</t>
  </si>
  <si>
    <t>6913800934373</t>
  </si>
  <si>
    <t>6913800942651</t>
  </si>
  <si>
    <t>6913800942644</t>
  </si>
  <si>
    <t>6913800942590</t>
  </si>
  <si>
    <t>6913800942606</t>
  </si>
  <si>
    <t>6913800942668</t>
  </si>
  <si>
    <t>6913800943597</t>
  </si>
  <si>
    <t>6913800942675</t>
  </si>
  <si>
    <t>6913800942682</t>
  </si>
  <si>
    <t>6914600258010</t>
  </si>
  <si>
    <t>6947790566597</t>
  </si>
  <si>
    <t>6947790566979</t>
  </si>
  <si>
    <t>9720000624297</t>
  </si>
  <si>
    <t>6944348553269</t>
  </si>
  <si>
    <t>6917952043716</t>
  </si>
  <si>
    <t>6971846332157</t>
  </si>
  <si>
    <t>6977851899937</t>
  </si>
  <si>
    <t>Small perfume - عطر مني</t>
  </si>
  <si>
    <t>small perfume - عطر مني</t>
  </si>
  <si>
    <t>cosmetics set - مجموعة مستحضرات تجميل</t>
  </si>
  <si>
    <t>Hair perfume - عطر الشعر</t>
  </si>
  <si>
    <t>Wipes - مناديل مرطب</t>
  </si>
  <si>
    <t>Flowers - ورد</t>
  </si>
  <si>
    <t>Soap - صابون</t>
  </si>
  <si>
    <t>Air freshener - معطر جو</t>
  </si>
  <si>
    <t>candle - شمع</t>
  </si>
  <si>
    <t>Eyeliner - الايلاينر</t>
  </si>
  <si>
    <t>Primer</t>
  </si>
  <si>
    <t>Plastic toys</t>
  </si>
  <si>
    <t>Children's toy watch</t>
  </si>
  <si>
    <t>ceramic cup - كوب</t>
  </si>
  <si>
    <t>Beauty makeup tool set</t>
  </si>
  <si>
    <t>6902026045918</t>
  </si>
  <si>
    <t>6902026034974</t>
  </si>
  <si>
    <t>6902026045901</t>
  </si>
  <si>
    <t>6902026025095</t>
  </si>
  <si>
    <t>6972857200404</t>
  </si>
  <si>
    <t>6937454001854</t>
  </si>
  <si>
    <t>6937454004381</t>
  </si>
  <si>
    <t>6971807370778</t>
  </si>
  <si>
    <t>6977017883787</t>
  </si>
  <si>
    <t>6972857401184</t>
  </si>
  <si>
    <t>6924430694834</t>
  </si>
  <si>
    <t>6924429694821</t>
  </si>
  <si>
    <t>6973364182160</t>
  </si>
  <si>
    <t>6973364181323</t>
  </si>
  <si>
    <t>6973364181347</t>
  </si>
  <si>
    <t>6930792316475</t>
  </si>
  <si>
    <t>6980040046081</t>
  </si>
  <si>
    <t>6980040046067</t>
  </si>
  <si>
    <t>6924331000017</t>
  </si>
  <si>
    <t>3760275839824</t>
  </si>
  <si>
    <t>8801095522086</t>
  </si>
  <si>
    <t>3760275835369</t>
  </si>
  <si>
    <t>6951133485209</t>
  </si>
  <si>
    <t>6936664365763</t>
  </si>
  <si>
    <t>6936664339665</t>
  </si>
  <si>
    <t>6936664365916</t>
  </si>
  <si>
    <t>6936664365923</t>
  </si>
  <si>
    <t>6936664370095</t>
  </si>
  <si>
    <t>6936664370064</t>
  </si>
  <si>
    <t>6936664353869</t>
  </si>
  <si>
    <t>6936664353852</t>
  </si>
  <si>
    <t>6936664359533</t>
  </si>
  <si>
    <t>6936664359526</t>
  </si>
  <si>
    <t>6936664358185</t>
  </si>
  <si>
    <t>6936664364834</t>
  </si>
  <si>
    <t>3760275837790</t>
  </si>
  <si>
    <t>3760275837806</t>
  </si>
  <si>
    <t>6900032727026</t>
  </si>
  <si>
    <t>6900032739388</t>
  </si>
  <si>
    <t>6902026033984</t>
  </si>
  <si>
    <t>6924331004473</t>
  </si>
  <si>
    <t>6924331004466</t>
  </si>
  <si>
    <t>6924331004459</t>
  </si>
  <si>
    <t>6956611053192</t>
  </si>
  <si>
    <t>6924331004442</t>
  </si>
  <si>
    <t>6956611053208</t>
  </si>
  <si>
    <t>GMN1334-1</t>
  </si>
  <si>
    <t>GMN1334-2</t>
  </si>
  <si>
    <t>GMN4401</t>
  </si>
  <si>
    <t>GMN3625</t>
  </si>
  <si>
    <t>GMN4633</t>
  </si>
  <si>
    <t>GMN4634</t>
  </si>
  <si>
    <t>GMN4635</t>
  </si>
  <si>
    <t>GMN4636</t>
  </si>
  <si>
    <t>GMN4637</t>
  </si>
  <si>
    <t>GMN4638</t>
  </si>
  <si>
    <t>GMN4639</t>
  </si>
  <si>
    <t>GMN4640</t>
  </si>
  <si>
    <t>GMN4548</t>
  </si>
  <si>
    <t>GMN4306</t>
  </si>
  <si>
    <t>6977017884777</t>
  </si>
  <si>
    <t>GMN4310</t>
  </si>
  <si>
    <t>GMN4601</t>
  </si>
  <si>
    <t>GMN4429</t>
  </si>
  <si>
    <t>GMN4430</t>
  </si>
  <si>
    <t>GMN4646</t>
  </si>
  <si>
    <t>GMN4647</t>
  </si>
  <si>
    <t>GMN4648</t>
  </si>
  <si>
    <t>GMN4649</t>
  </si>
  <si>
    <t>GMN4608</t>
  </si>
  <si>
    <t>GMN4606</t>
  </si>
  <si>
    <t>GMN3937</t>
  </si>
  <si>
    <t>GMN3936</t>
  </si>
  <si>
    <t>GMN4700</t>
  </si>
  <si>
    <t>GMN4699</t>
  </si>
  <si>
    <t>GMN4698</t>
  </si>
  <si>
    <t>GMN4697</t>
  </si>
  <si>
    <t>GMN4331</t>
  </si>
  <si>
    <t>GMN4547</t>
  </si>
  <si>
    <t>GMN4535</t>
  </si>
  <si>
    <t>GMN4534</t>
  </si>
  <si>
    <t>GMN4530</t>
  </si>
  <si>
    <t>GMN4591</t>
  </si>
  <si>
    <t>GMN4590</t>
  </si>
  <si>
    <t>GMN3497</t>
  </si>
  <si>
    <t>GMN2509</t>
  </si>
  <si>
    <t>GMN3398</t>
  </si>
  <si>
    <t>GMN3938</t>
  </si>
  <si>
    <t>GMN2702</t>
  </si>
  <si>
    <t>GMN4502</t>
  </si>
  <si>
    <t>GMN4501</t>
  </si>
  <si>
    <t>GMN4643</t>
  </si>
  <si>
    <t>GMN4642</t>
  </si>
  <si>
    <t>GMN4410</t>
  </si>
  <si>
    <t>GMN4504</t>
  </si>
  <si>
    <t>GMN4412</t>
  </si>
  <si>
    <t>GMN4420</t>
  </si>
  <si>
    <t>GMN4651</t>
  </si>
  <si>
    <t>GMN4650</t>
  </si>
  <si>
    <t>6959063134709</t>
  </si>
  <si>
    <t>6973364181330</t>
  </si>
  <si>
    <t>6931761495740</t>
  </si>
  <si>
    <t>GMN4630</t>
  </si>
  <si>
    <t>GMN4631</t>
  </si>
  <si>
    <t>GMN4632</t>
  </si>
  <si>
    <t>GMN4381</t>
  </si>
  <si>
    <t>GMN4382</t>
  </si>
  <si>
    <t>GMN4130</t>
  </si>
  <si>
    <t>GMN4594</t>
  </si>
  <si>
    <t>GMN4587</t>
  </si>
  <si>
    <t>GMN4588</t>
  </si>
  <si>
    <t>GMN4589</t>
  </si>
  <si>
    <t>GMN4669</t>
  </si>
  <si>
    <t>Bath Set - طقم لوشن وعطر</t>
  </si>
  <si>
    <t>GMN4670</t>
  </si>
  <si>
    <t>GMN4671</t>
  </si>
  <si>
    <t>GMN4672</t>
  </si>
  <si>
    <t>GMN4673</t>
  </si>
  <si>
    <t>GMN4674</t>
  </si>
  <si>
    <t>GMN4675</t>
  </si>
  <si>
    <t>GMN4676</t>
  </si>
  <si>
    <t>GMN4677</t>
  </si>
  <si>
    <t>GMN4394</t>
  </si>
  <si>
    <t>Perfume and lotion - عطر ولوشن</t>
  </si>
  <si>
    <t>GMN4581</t>
  </si>
  <si>
    <t>6924630086569</t>
  </si>
  <si>
    <t>6924631086575</t>
  </si>
  <si>
    <t>6924632086574</t>
  </si>
  <si>
    <t>6970991858154</t>
  </si>
  <si>
    <t>6970991858161</t>
  </si>
  <si>
    <t>6952108041307</t>
  </si>
  <si>
    <t>6920000000005</t>
  </si>
  <si>
    <t>6924587050019</t>
  </si>
  <si>
    <t>6924588050025</t>
  </si>
  <si>
    <t>6924589050031</t>
  </si>
  <si>
    <t>6914600268569</t>
  </si>
  <si>
    <t>6914600268538</t>
  </si>
  <si>
    <t>6914600268552</t>
  </si>
  <si>
    <t>6914600276106</t>
  </si>
  <si>
    <t>6914600276083</t>
  </si>
  <si>
    <t>6914600275956</t>
  </si>
  <si>
    <t>6914600275932</t>
  </si>
  <si>
    <t>6914600265940</t>
  </si>
  <si>
    <t>6914600265933</t>
  </si>
  <si>
    <t>6924394234510</t>
  </si>
  <si>
    <t>6935539619321</t>
  </si>
  <si>
    <t>عطر FREF</t>
  </si>
  <si>
    <t>6975117000202</t>
  </si>
  <si>
    <t>6988548124010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</si>
</sst>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###"/>
  </numFmts>
  <fonts count="7" x14ac:knownFonts="1">
    <font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1F4E78"/>
      <name val="Calibri"/>
      <family val="2"/>
    </font>
    <font>
      <b/>
      <sz val="11"/>
      <color rgb="FF1F4E78"/>
      <name val="Calibri"/>
      <family val="2"/>
    </font>
    <font>
      <i/>
      <sz val="10"/>
      <color rgb="FF808080"/>
      <name val="Calibri"/>
      <family val="2"/>
    </font>
    <font>
      <sz val="11"/>
      <color theme="1"/>
      <name val="Arial"/>
      <family val="2"/>
      <scheme val="minor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0" xfId="0" applyFont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right" vertical="center" wrapText="1"/>
    </xf>
    <xf numFmtId="49" fontId="0" fillId="4" borderId="0" xfId="0" applyNumberFormat="1" applyFill="1"/>
  </cellXfs>
  <cellStyles count="2">
    <cellStyle name="عادي" xfId="0" builtinId="0"/>
    <cellStyle name="عادي 2" xfId="1" xr:uid="{2BBA47CA-BB0C-41A4-AB58-70DCBB6275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9"/>
  <sheetViews>
    <sheetView tabSelected="1" zoomScale="91" workbookViewId="0">
      <pane ySplit="1" topLeftCell="A2" activePane="bottomLeft" state="frozen"/>
      <selection pane="bottomLeft" activeCell="F203" sqref="F203"/>
    </sheetView>
  </sheetViews>
  <sheetFormatPr defaultRowHeight="14.5" x14ac:dyDescent="0.35"/>
  <cols>
    <col min="1" max="1" width="16" style="12" customWidth="1"/>
    <col min="2" max="2" width="36" style="13" customWidth="1"/>
    <col min="3" max="3" width="18" style="12" customWidth="1"/>
    <col min="4" max="4" width="22" style="12" customWidth="1"/>
    <col min="5" max="5" width="16" style="12" customWidth="1"/>
    <col min="6" max="6" width="14" style="4" customWidth="1"/>
    <col min="7" max="7" width="16" style="12" customWidth="1"/>
    <col min="8" max="9" width="16" style="3" customWidth="1"/>
    <col min="10" max="10" width="12" style="12" customWidth="1"/>
    <col min="11" max="11" width="18" style="12" customWidth="1"/>
    <col min="12" max="12" width="16" style="2" customWidth="1"/>
    <col min="13" max="13" width="16" style="5" customWidth="1"/>
    <col min="14" max="14" width="22" style="12" customWidth="1"/>
    <col min="15" max="15" width="16" style="12" customWidth="1"/>
    <col min="16" max="16" width="20" style="12" customWidth="1"/>
    <col min="17" max="17" width="36" style="12" customWidth="1"/>
  </cols>
  <sheetData>
    <row r="1" spans="1:17" ht="36" customHeight="1" x14ac:dyDescent="0.35">
      <c r="A1" s="1" t="s">
        <v>0</v>
      </c>
      <c r="B1" s="1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12" t="s">
        <v>190</v>
      </c>
      <c r="B2" s="13" t="s">
        <v>191</v>
      </c>
      <c r="D2" s="12" t="s">
        <v>192</v>
      </c>
      <c r="E2" s="12" t="s">
        <v>113</v>
      </c>
      <c r="F2" s="4">
        <v>180</v>
      </c>
      <c r="G2" s="12" t="s">
        <v>113</v>
      </c>
      <c r="H2" s="3">
        <v>6.6</v>
      </c>
      <c r="I2" s="3">
        <v>9</v>
      </c>
      <c r="J2" s="12" t="s">
        <v>81</v>
      </c>
    </row>
    <row r="3" spans="1:17" x14ac:dyDescent="0.35">
      <c r="A3" s="12" t="s">
        <v>193</v>
      </c>
      <c r="B3" s="13" t="s">
        <v>194</v>
      </c>
      <c r="D3" s="12" t="s">
        <v>195</v>
      </c>
      <c r="E3" s="12" t="s">
        <v>113</v>
      </c>
      <c r="F3" s="4">
        <v>36</v>
      </c>
      <c r="G3" s="12" t="s">
        <v>113</v>
      </c>
      <c r="H3" s="3">
        <v>6.6</v>
      </c>
      <c r="I3" s="3">
        <v>9</v>
      </c>
      <c r="J3" s="12" t="s">
        <v>81</v>
      </c>
    </row>
    <row r="4" spans="1:17" x14ac:dyDescent="0.35">
      <c r="A4" s="12" t="s">
        <v>197</v>
      </c>
      <c r="B4" s="13" t="s">
        <v>196</v>
      </c>
      <c r="D4" s="12" t="s">
        <v>198</v>
      </c>
      <c r="E4" s="12" t="s">
        <v>113</v>
      </c>
      <c r="F4" s="4">
        <v>108</v>
      </c>
      <c r="G4" s="12" t="s">
        <v>113</v>
      </c>
      <c r="H4" s="3">
        <v>12.254</v>
      </c>
      <c r="I4" s="3">
        <v>18</v>
      </c>
      <c r="J4" s="12" t="s">
        <v>81</v>
      </c>
    </row>
    <row r="5" spans="1:17" x14ac:dyDescent="0.35">
      <c r="A5" s="12" t="s">
        <v>199</v>
      </c>
      <c r="B5" s="13" t="s">
        <v>200</v>
      </c>
      <c r="D5" s="12" t="s">
        <v>201</v>
      </c>
      <c r="E5" s="12" t="s">
        <v>113</v>
      </c>
      <c r="F5" s="4">
        <v>232</v>
      </c>
      <c r="G5" s="12" t="s">
        <v>113</v>
      </c>
      <c r="H5" s="3">
        <v>1.98</v>
      </c>
      <c r="I5" s="3">
        <v>4</v>
      </c>
      <c r="J5" s="12" t="s">
        <v>81</v>
      </c>
    </row>
    <row r="6" spans="1:17" x14ac:dyDescent="0.35">
      <c r="A6" s="12" t="s">
        <v>202</v>
      </c>
      <c r="B6" s="13" t="s">
        <v>200</v>
      </c>
      <c r="D6" s="12" t="s">
        <v>203</v>
      </c>
      <c r="E6" s="12" t="s">
        <v>113</v>
      </c>
      <c r="F6" s="4">
        <v>104</v>
      </c>
      <c r="G6" s="12" t="s">
        <v>113</v>
      </c>
      <c r="H6" s="3">
        <v>2.91</v>
      </c>
      <c r="I6" s="3">
        <v>5</v>
      </c>
      <c r="J6" s="12" t="s">
        <v>81</v>
      </c>
    </row>
    <row r="7" spans="1:17" x14ac:dyDescent="0.35">
      <c r="A7" s="12" t="s">
        <v>204</v>
      </c>
      <c r="B7" s="13" t="s">
        <v>200</v>
      </c>
      <c r="D7" s="12" t="s">
        <v>205</v>
      </c>
      <c r="E7" s="12" t="s">
        <v>113</v>
      </c>
      <c r="F7" s="4">
        <v>60</v>
      </c>
      <c r="G7" s="12" t="s">
        <v>113</v>
      </c>
      <c r="H7" s="3">
        <v>2.77</v>
      </c>
      <c r="I7" s="3">
        <v>5</v>
      </c>
      <c r="J7" s="12" t="s">
        <v>81</v>
      </c>
    </row>
    <row r="8" spans="1:17" x14ac:dyDescent="0.35">
      <c r="A8" s="12" t="s">
        <v>379</v>
      </c>
      <c r="B8" s="13" t="s">
        <v>384</v>
      </c>
      <c r="D8" s="12" t="s">
        <v>416</v>
      </c>
      <c r="E8" s="12" t="s">
        <v>113</v>
      </c>
      <c r="F8" s="4">
        <v>24</v>
      </c>
      <c r="G8" s="12" t="s">
        <v>113</v>
      </c>
      <c r="H8" s="3">
        <v>8.6199999999999992</v>
      </c>
      <c r="I8" s="3">
        <v>13</v>
      </c>
      <c r="J8" s="12" t="s">
        <v>81</v>
      </c>
    </row>
    <row r="9" spans="1:17" x14ac:dyDescent="0.35">
      <c r="A9" s="12" t="s">
        <v>380</v>
      </c>
      <c r="B9" s="13" t="s">
        <v>384</v>
      </c>
      <c r="D9" s="12" t="s">
        <v>419</v>
      </c>
      <c r="E9" s="12" t="s">
        <v>113</v>
      </c>
      <c r="F9" s="4">
        <v>3</v>
      </c>
      <c r="G9" s="12" t="s">
        <v>113</v>
      </c>
      <c r="H9" s="3">
        <v>30.19</v>
      </c>
      <c r="I9" s="3">
        <v>45</v>
      </c>
      <c r="J9" s="12" t="s">
        <v>81</v>
      </c>
    </row>
    <row r="10" spans="1:17" x14ac:dyDescent="0.35">
      <c r="A10" s="12" t="s">
        <v>381</v>
      </c>
      <c r="B10" s="13" t="s">
        <v>385</v>
      </c>
      <c r="D10" s="12" t="s">
        <v>420</v>
      </c>
      <c r="E10" s="12" t="s">
        <v>113</v>
      </c>
      <c r="F10" s="4">
        <v>4</v>
      </c>
      <c r="G10" s="12" t="s">
        <v>113</v>
      </c>
      <c r="H10" s="3">
        <v>25.8</v>
      </c>
      <c r="I10" s="3">
        <v>38</v>
      </c>
      <c r="J10" s="12" t="s">
        <v>81</v>
      </c>
    </row>
    <row r="11" spans="1:17" x14ac:dyDescent="0.35">
      <c r="A11" s="12" t="s">
        <v>382</v>
      </c>
      <c r="B11" s="13" t="s">
        <v>386</v>
      </c>
      <c r="D11" s="12" t="s">
        <v>421</v>
      </c>
      <c r="E11" s="12" t="s">
        <v>113</v>
      </c>
      <c r="F11" s="4">
        <v>6</v>
      </c>
      <c r="G11" s="12" t="s">
        <v>113</v>
      </c>
      <c r="H11" s="3">
        <v>18.48</v>
      </c>
      <c r="I11" s="3">
        <v>27</v>
      </c>
      <c r="J11" s="12" t="s">
        <v>81</v>
      </c>
    </row>
    <row r="12" spans="1:17" x14ac:dyDescent="0.35">
      <c r="A12" s="12" t="s">
        <v>383</v>
      </c>
      <c r="B12" s="13" t="s">
        <v>386</v>
      </c>
      <c r="D12" s="12" t="s">
        <v>421</v>
      </c>
      <c r="E12" s="12" t="s">
        <v>113</v>
      </c>
      <c r="F12" s="4">
        <v>11</v>
      </c>
      <c r="G12" s="12" t="s">
        <v>113</v>
      </c>
      <c r="H12" s="3">
        <v>9.83</v>
      </c>
      <c r="I12" s="3">
        <v>15</v>
      </c>
      <c r="J12" s="12" t="s">
        <v>81</v>
      </c>
    </row>
    <row r="13" spans="1:17" x14ac:dyDescent="0.35">
      <c r="A13" s="12" t="s">
        <v>206</v>
      </c>
      <c r="B13" s="13" t="s">
        <v>207</v>
      </c>
      <c r="D13" s="12" t="s">
        <v>422</v>
      </c>
      <c r="E13" s="12" t="s">
        <v>113</v>
      </c>
      <c r="F13" s="4">
        <v>6</v>
      </c>
      <c r="G13" s="12" t="s">
        <v>113</v>
      </c>
      <c r="H13" s="3">
        <v>15.69</v>
      </c>
      <c r="I13" s="3">
        <v>23</v>
      </c>
      <c r="J13" s="12" t="s">
        <v>81</v>
      </c>
    </row>
    <row r="14" spans="1:17" x14ac:dyDescent="0.35">
      <c r="A14" s="12" t="s">
        <v>208</v>
      </c>
      <c r="B14" s="13" t="s">
        <v>209</v>
      </c>
      <c r="D14" s="12" t="s">
        <v>423</v>
      </c>
      <c r="E14" s="12" t="s">
        <v>113</v>
      </c>
      <c r="F14" s="4">
        <v>18</v>
      </c>
      <c r="G14" s="12" t="s">
        <v>113</v>
      </c>
      <c r="H14" s="3">
        <v>19.93</v>
      </c>
      <c r="I14" s="3">
        <v>29</v>
      </c>
      <c r="J14" s="12" t="s">
        <v>81</v>
      </c>
    </row>
    <row r="15" spans="1:17" x14ac:dyDescent="0.35">
      <c r="A15" s="12" t="s">
        <v>210</v>
      </c>
      <c r="B15" s="13" t="s">
        <v>207</v>
      </c>
      <c r="D15" s="12" t="s">
        <v>424</v>
      </c>
      <c r="E15" s="12" t="s">
        <v>113</v>
      </c>
      <c r="F15" s="4">
        <v>24</v>
      </c>
      <c r="G15" s="12" t="s">
        <v>113</v>
      </c>
      <c r="H15" s="3">
        <v>4.6399999999999997</v>
      </c>
      <c r="I15" s="3">
        <v>7</v>
      </c>
      <c r="J15" s="12" t="s">
        <v>81</v>
      </c>
    </row>
    <row r="16" spans="1:17" x14ac:dyDescent="0.35">
      <c r="A16" s="12" t="s">
        <v>211</v>
      </c>
      <c r="B16" s="13" t="s">
        <v>212</v>
      </c>
      <c r="D16" s="12" t="s">
        <v>428</v>
      </c>
      <c r="E16" s="12" t="s">
        <v>113</v>
      </c>
      <c r="F16" s="4">
        <v>24</v>
      </c>
      <c r="G16" s="12" t="s">
        <v>113</v>
      </c>
      <c r="H16" s="3">
        <v>3.93</v>
      </c>
      <c r="I16" s="3">
        <v>6</v>
      </c>
      <c r="J16" s="12" t="s">
        <v>81</v>
      </c>
    </row>
    <row r="17" spans="1:10" x14ac:dyDescent="0.35">
      <c r="A17" s="12" t="s">
        <v>213</v>
      </c>
      <c r="B17" s="13" t="s">
        <v>207</v>
      </c>
      <c r="D17" s="12" t="s">
        <v>429</v>
      </c>
      <c r="E17" s="12" t="s">
        <v>113</v>
      </c>
      <c r="F17" s="4">
        <v>45</v>
      </c>
      <c r="G17" s="12" t="s">
        <v>113</v>
      </c>
      <c r="H17" s="3">
        <v>2.95</v>
      </c>
      <c r="I17" s="3">
        <v>5</v>
      </c>
      <c r="J17" s="12" t="s">
        <v>81</v>
      </c>
    </row>
    <row r="18" spans="1:10" x14ac:dyDescent="0.35">
      <c r="A18" s="12" t="s">
        <v>214</v>
      </c>
      <c r="B18" s="13" t="s">
        <v>207</v>
      </c>
      <c r="D18" s="12" t="s">
        <v>430</v>
      </c>
      <c r="E18" s="12" t="s">
        <v>113</v>
      </c>
      <c r="F18" s="4">
        <v>24</v>
      </c>
      <c r="G18" s="12" t="s">
        <v>113</v>
      </c>
      <c r="H18" s="3">
        <v>4.5</v>
      </c>
      <c r="I18" s="3">
        <v>6.5</v>
      </c>
      <c r="J18" s="12" t="s">
        <v>81</v>
      </c>
    </row>
    <row r="19" spans="1:10" x14ac:dyDescent="0.35">
      <c r="A19" s="12" t="s">
        <v>216</v>
      </c>
      <c r="B19" s="13" t="s">
        <v>215</v>
      </c>
      <c r="D19" s="12" t="s">
        <v>433</v>
      </c>
      <c r="E19" s="12" t="s">
        <v>113</v>
      </c>
      <c r="F19" s="4">
        <v>12</v>
      </c>
      <c r="G19" s="12" t="s">
        <v>113</v>
      </c>
      <c r="H19" s="3">
        <v>1.32</v>
      </c>
      <c r="I19" s="3">
        <v>4</v>
      </c>
      <c r="J19" s="12" t="s">
        <v>81</v>
      </c>
    </row>
    <row r="20" spans="1:10" x14ac:dyDescent="0.35">
      <c r="A20" s="12" t="s">
        <v>217</v>
      </c>
      <c r="B20" s="13" t="s">
        <v>215</v>
      </c>
      <c r="D20" s="12" t="s">
        <v>432</v>
      </c>
      <c r="E20" s="12" t="s">
        <v>113</v>
      </c>
      <c r="F20" s="4">
        <v>12</v>
      </c>
      <c r="G20" s="12" t="s">
        <v>113</v>
      </c>
      <c r="H20" s="3">
        <v>1.32</v>
      </c>
      <c r="I20" s="3">
        <v>4</v>
      </c>
      <c r="J20" s="12" t="s">
        <v>81</v>
      </c>
    </row>
    <row r="21" spans="1:10" x14ac:dyDescent="0.35">
      <c r="A21" s="12" t="s">
        <v>218</v>
      </c>
      <c r="B21" s="13" t="s">
        <v>219</v>
      </c>
      <c r="D21" s="12" t="s">
        <v>431</v>
      </c>
      <c r="E21" s="12" t="s">
        <v>113</v>
      </c>
      <c r="F21" s="4">
        <v>72</v>
      </c>
      <c r="G21" s="12" t="s">
        <v>113</v>
      </c>
      <c r="H21" s="3">
        <v>1.03</v>
      </c>
      <c r="I21" s="3">
        <v>5</v>
      </c>
      <c r="J21" s="12" t="s">
        <v>81</v>
      </c>
    </row>
    <row r="22" spans="1:10" x14ac:dyDescent="0.35">
      <c r="A22" s="12" t="s">
        <v>220</v>
      </c>
      <c r="B22" s="13" t="s">
        <v>221</v>
      </c>
      <c r="D22" s="12" t="s">
        <v>434</v>
      </c>
      <c r="E22" s="12" t="s">
        <v>113</v>
      </c>
      <c r="F22" s="4">
        <v>24</v>
      </c>
      <c r="G22" s="12" t="s">
        <v>113</v>
      </c>
      <c r="H22" s="3">
        <v>2.04</v>
      </c>
      <c r="I22" s="3">
        <v>4</v>
      </c>
      <c r="J22" s="12" t="s">
        <v>81</v>
      </c>
    </row>
    <row r="23" spans="1:10" x14ac:dyDescent="0.35">
      <c r="A23" s="12" t="s">
        <v>222</v>
      </c>
      <c r="B23" s="13" t="s">
        <v>223</v>
      </c>
      <c r="D23" s="12" t="s">
        <v>435</v>
      </c>
      <c r="E23" s="12" t="s">
        <v>113</v>
      </c>
      <c r="F23" s="4">
        <v>12</v>
      </c>
      <c r="G23" s="12" t="s">
        <v>113</v>
      </c>
      <c r="H23" s="3">
        <v>6.37</v>
      </c>
      <c r="I23" s="3">
        <v>10</v>
      </c>
      <c r="J23" s="12" t="s">
        <v>81</v>
      </c>
    </row>
    <row r="24" spans="1:10" x14ac:dyDescent="0.35">
      <c r="A24" s="12" t="s">
        <v>224</v>
      </c>
      <c r="B24" s="13" t="s">
        <v>225</v>
      </c>
      <c r="D24" s="12" t="s">
        <v>414</v>
      </c>
      <c r="E24" s="12" t="s">
        <v>113</v>
      </c>
      <c r="F24" s="4">
        <v>48</v>
      </c>
      <c r="G24" s="12" t="s">
        <v>113</v>
      </c>
      <c r="H24" s="3">
        <v>1.68</v>
      </c>
      <c r="I24" s="3">
        <v>8</v>
      </c>
      <c r="J24" s="12" t="s">
        <v>81</v>
      </c>
    </row>
    <row r="25" spans="1:10" x14ac:dyDescent="0.35">
      <c r="A25" s="12" t="s">
        <v>226</v>
      </c>
      <c r="B25" s="13" t="s">
        <v>225</v>
      </c>
      <c r="D25" s="12" t="s">
        <v>415</v>
      </c>
      <c r="E25" s="12" t="s">
        <v>113</v>
      </c>
      <c r="F25" s="4">
        <v>48</v>
      </c>
      <c r="G25" s="12" t="s">
        <v>113</v>
      </c>
      <c r="H25" s="3">
        <v>1.72</v>
      </c>
      <c r="I25" s="3">
        <v>8</v>
      </c>
      <c r="J25" s="12" t="s">
        <v>81</v>
      </c>
    </row>
    <row r="26" spans="1:10" x14ac:dyDescent="0.35">
      <c r="A26" s="12" t="s">
        <v>227</v>
      </c>
      <c r="B26" s="13" t="s">
        <v>228</v>
      </c>
      <c r="D26" s="12" t="s">
        <v>436</v>
      </c>
      <c r="E26" s="12" t="s">
        <v>113</v>
      </c>
      <c r="F26" s="4">
        <v>48</v>
      </c>
      <c r="G26" s="12" t="s">
        <v>113</v>
      </c>
      <c r="H26" s="3">
        <v>1.72</v>
      </c>
      <c r="I26" s="3">
        <v>8</v>
      </c>
      <c r="J26" s="12" t="s">
        <v>81</v>
      </c>
    </row>
    <row r="27" spans="1:10" x14ac:dyDescent="0.35">
      <c r="A27" s="12" t="s">
        <v>229</v>
      </c>
      <c r="B27" s="13" t="s">
        <v>228</v>
      </c>
      <c r="D27" s="12" t="s">
        <v>437</v>
      </c>
      <c r="E27" s="12" t="s">
        <v>113</v>
      </c>
      <c r="F27" s="4">
        <v>48</v>
      </c>
      <c r="G27" s="12" t="s">
        <v>113</v>
      </c>
      <c r="H27" s="3">
        <v>1.72</v>
      </c>
      <c r="I27" s="3">
        <v>8</v>
      </c>
      <c r="J27" s="12" t="s">
        <v>81</v>
      </c>
    </row>
    <row r="28" spans="1:10" x14ac:dyDescent="0.35">
      <c r="A28" s="12" t="s">
        <v>230</v>
      </c>
      <c r="B28" s="13" t="s">
        <v>231</v>
      </c>
      <c r="D28" s="12" t="s">
        <v>409</v>
      </c>
      <c r="E28" s="12" t="s">
        <v>113</v>
      </c>
      <c r="F28" s="4">
        <v>108</v>
      </c>
      <c r="G28" s="12" t="s">
        <v>113</v>
      </c>
      <c r="H28" s="3">
        <v>1.42</v>
      </c>
      <c r="I28" s="3">
        <v>5</v>
      </c>
      <c r="J28" s="12" t="s">
        <v>81</v>
      </c>
    </row>
    <row r="29" spans="1:10" x14ac:dyDescent="0.35">
      <c r="A29" s="12" t="s">
        <v>232</v>
      </c>
      <c r="B29" s="13" t="s">
        <v>231</v>
      </c>
      <c r="D29" s="12" t="s">
        <v>425</v>
      </c>
      <c r="E29" s="12" t="s">
        <v>113</v>
      </c>
      <c r="F29" s="4">
        <v>30</v>
      </c>
      <c r="G29" s="12" t="s">
        <v>113</v>
      </c>
      <c r="H29" s="3">
        <v>5.88</v>
      </c>
      <c r="I29" s="3">
        <v>9</v>
      </c>
      <c r="J29" s="12" t="s">
        <v>81</v>
      </c>
    </row>
    <row r="30" spans="1:10" x14ac:dyDescent="0.35">
      <c r="A30" s="12" t="s">
        <v>233</v>
      </c>
      <c r="B30" s="13" t="s">
        <v>231</v>
      </c>
      <c r="D30" s="12" t="s">
        <v>438</v>
      </c>
      <c r="E30" s="12" t="s">
        <v>113</v>
      </c>
      <c r="F30" s="4">
        <v>48</v>
      </c>
      <c r="G30" s="12" t="s">
        <v>113</v>
      </c>
      <c r="H30" s="3">
        <v>5.08</v>
      </c>
      <c r="I30" s="3">
        <v>9</v>
      </c>
      <c r="J30" s="12" t="s">
        <v>81</v>
      </c>
    </row>
    <row r="31" spans="1:10" x14ac:dyDescent="0.35">
      <c r="A31" s="12" t="s">
        <v>234</v>
      </c>
      <c r="B31" s="13" t="s">
        <v>235</v>
      </c>
      <c r="D31" s="12" t="s">
        <v>410</v>
      </c>
      <c r="E31" s="12" t="s">
        <v>113</v>
      </c>
      <c r="F31" s="4">
        <v>36</v>
      </c>
      <c r="G31" s="12" t="s">
        <v>113</v>
      </c>
      <c r="H31" s="3">
        <v>3.8</v>
      </c>
      <c r="I31" s="3">
        <v>6</v>
      </c>
      <c r="J31" s="12" t="s">
        <v>81</v>
      </c>
    </row>
    <row r="32" spans="1:10" x14ac:dyDescent="0.35">
      <c r="A32" s="12" t="s">
        <v>236</v>
      </c>
      <c r="B32" s="13" t="s">
        <v>237</v>
      </c>
      <c r="D32" s="12" t="s">
        <v>406</v>
      </c>
      <c r="E32" s="12" t="s">
        <v>113</v>
      </c>
      <c r="F32" s="4">
        <v>288</v>
      </c>
      <c r="G32" s="12" t="s">
        <v>113</v>
      </c>
      <c r="H32" s="3">
        <v>0.65</v>
      </c>
      <c r="I32" s="3">
        <v>3</v>
      </c>
      <c r="J32" s="12" t="s">
        <v>81</v>
      </c>
    </row>
    <row r="33" spans="1:10" x14ac:dyDescent="0.35">
      <c r="A33" s="12" t="s">
        <v>238</v>
      </c>
      <c r="B33" s="13" t="s">
        <v>239</v>
      </c>
      <c r="D33" s="12" t="s">
        <v>439</v>
      </c>
      <c r="E33" s="12" t="s">
        <v>113</v>
      </c>
      <c r="F33" s="4">
        <v>120</v>
      </c>
      <c r="G33" s="12" t="s">
        <v>113</v>
      </c>
      <c r="H33" s="3">
        <v>2.33</v>
      </c>
      <c r="I33" s="3">
        <v>5</v>
      </c>
      <c r="J33" s="12" t="s">
        <v>81</v>
      </c>
    </row>
    <row r="34" spans="1:10" x14ac:dyDescent="0.35">
      <c r="A34" s="12" t="s">
        <v>240</v>
      </c>
      <c r="B34" s="13" t="s">
        <v>207</v>
      </c>
      <c r="D34" s="12" t="s">
        <v>410</v>
      </c>
      <c r="E34" s="12" t="s">
        <v>113</v>
      </c>
      <c r="F34" s="4">
        <v>108</v>
      </c>
      <c r="G34" s="12" t="s">
        <v>113</v>
      </c>
      <c r="H34" s="3">
        <v>2.33</v>
      </c>
      <c r="I34" s="3">
        <v>5</v>
      </c>
      <c r="J34" s="12" t="s">
        <v>81</v>
      </c>
    </row>
    <row r="35" spans="1:10" x14ac:dyDescent="0.35">
      <c r="A35" s="12" t="s">
        <v>241</v>
      </c>
      <c r="B35" s="13" t="s">
        <v>242</v>
      </c>
      <c r="D35" s="12" t="s">
        <v>418</v>
      </c>
      <c r="E35" s="12" t="s">
        <v>113</v>
      </c>
      <c r="F35" s="4">
        <v>96</v>
      </c>
      <c r="G35" s="12" t="s">
        <v>113</v>
      </c>
      <c r="H35" s="3">
        <v>1</v>
      </c>
      <c r="I35" s="3">
        <v>3</v>
      </c>
      <c r="J35" s="12" t="s">
        <v>81</v>
      </c>
    </row>
    <row r="36" spans="1:10" x14ac:dyDescent="0.35">
      <c r="A36" s="12" t="s">
        <v>243</v>
      </c>
      <c r="B36" s="13" t="s">
        <v>244</v>
      </c>
      <c r="D36" s="12" t="s">
        <v>417</v>
      </c>
      <c r="E36" s="12" t="s">
        <v>113</v>
      </c>
      <c r="F36" s="4">
        <v>120</v>
      </c>
      <c r="G36" s="12" t="s">
        <v>113</v>
      </c>
      <c r="H36" s="3">
        <v>2.78</v>
      </c>
      <c r="I36" s="3">
        <v>5</v>
      </c>
      <c r="J36" s="12" t="s">
        <v>81</v>
      </c>
    </row>
    <row r="37" spans="1:10" x14ac:dyDescent="0.35">
      <c r="A37" s="12" t="s">
        <v>245</v>
      </c>
      <c r="B37" s="13" t="s">
        <v>237</v>
      </c>
      <c r="D37" s="12" t="s">
        <v>413</v>
      </c>
      <c r="E37" s="12" t="s">
        <v>113</v>
      </c>
      <c r="F37" s="4">
        <v>261</v>
      </c>
      <c r="G37" s="12" t="s">
        <v>113</v>
      </c>
      <c r="H37" s="3">
        <v>1.58</v>
      </c>
      <c r="I37" s="3">
        <v>4</v>
      </c>
      <c r="J37" s="12" t="s">
        <v>81</v>
      </c>
    </row>
    <row r="38" spans="1:10" x14ac:dyDescent="0.35">
      <c r="A38" s="12" t="s">
        <v>246</v>
      </c>
      <c r="B38" s="13" t="s">
        <v>247</v>
      </c>
      <c r="D38" s="12" t="s">
        <v>440</v>
      </c>
      <c r="E38" s="12" t="s">
        <v>113</v>
      </c>
      <c r="F38" s="4">
        <v>24</v>
      </c>
      <c r="G38" s="12" t="s">
        <v>113</v>
      </c>
      <c r="H38" s="3">
        <v>4.26</v>
      </c>
      <c r="I38" s="3">
        <v>9</v>
      </c>
      <c r="J38" s="12" t="s">
        <v>81</v>
      </c>
    </row>
    <row r="39" spans="1:10" x14ac:dyDescent="0.35">
      <c r="A39" s="12" t="s">
        <v>248</v>
      </c>
      <c r="B39" s="13" t="s">
        <v>249</v>
      </c>
      <c r="D39" s="12" t="s">
        <v>441</v>
      </c>
      <c r="E39" s="12" t="s">
        <v>113</v>
      </c>
      <c r="F39" s="4">
        <v>47</v>
      </c>
      <c r="G39" s="12" t="s">
        <v>113</v>
      </c>
      <c r="H39" s="3">
        <v>0.92</v>
      </c>
      <c r="I39" s="3">
        <v>3</v>
      </c>
      <c r="J39" s="12" t="s">
        <v>81</v>
      </c>
    </row>
    <row r="40" spans="1:10" x14ac:dyDescent="0.35">
      <c r="A40" s="12" t="s">
        <v>250</v>
      </c>
      <c r="B40" s="13" t="s">
        <v>249</v>
      </c>
      <c r="D40" s="12" t="s">
        <v>442</v>
      </c>
      <c r="E40" s="12" t="s">
        <v>113</v>
      </c>
      <c r="F40" s="4">
        <v>48</v>
      </c>
      <c r="G40" s="12" t="s">
        <v>113</v>
      </c>
      <c r="H40" s="3">
        <v>0.92</v>
      </c>
      <c r="I40" s="3">
        <v>3</v>
      </c>
      <c r="J40" s="12" t="s">
        <v>81</v>
      </c>
    </row>
    <row r="41" spans="1:10" x14ac:dyDescent="0.35">
      <c r="A41" s="12" t="s">
        <v>251</v>
      </c>
      <c r="B41" s="13" t="s">
        <v>249</v>
      </c>
      <c r="D41" s="12" t="s">
        <v>443</v>
      </c>
      <c r="E41" s="12" t="s">
        <v>113</v>
      </c>
      <c r="F41" s="4">
        <v>120</v>
      </c>
      <c r="G41" s="12" t="s">
        <v>113</v>
      </c>
      <c r="H41" s="3">
        <v>0.61</v>
      </c>
      <c r="I41" s="3">
        <v>2</v>
      </c>
      <c r="J41" s="12" t="s">
        <v>81</v>
      </c>
    </row>
    <row r="42" spans="1:10" x14ac:dyDescent="0.35">
      <c r="A42" s="12" t="s">
        <v>252</v>
      </c>
      <c r="B42" s="13" t="s">
        <v>253</v>
      </c>
      <c r="D42" s="12" t="s">
        <v>448</v>
      </c>
      <c r="E42" s="12" t="s">
        <v>113</v>
      </c>
      <c r="F42" s="4">
        <v>100</v>
      </c>
      <c r="G42" s="12" t="s">
        <v>113</v>
      </c>
      <c r="H42" s="3">
        <v>1.58</v>
      </c>
      <c r="I42" s="3">
        <v>3</v>
      </c>
      <c r="J42" s="12" t="s">
        <v>81</v>
      </c>
    </row>
    <row r="43" spans="1:10" x14ac:dyDescent="0.35">
      <c r="A43" s="12" t="s">
        <v>254</v>
      </c>
      <c r="B43" s="13" t="s">
        <v>255</v>
      </c>
      <c r="D43" s="12" t="s">
        <v>444</v>
      </c>
      <c r="E43" s="12" t="s">
        <v>113</v>
      </c>
      <c r="F43" s="4">
        <v>12</v>
      </c>
      <c r="G43" s="12" t="s">
        <v>113</v>
      </c>
      <c r="H43" s="3">
        <v>8.7100000000000009</v>
      </c>
      <c r="I43" s="3">
        <v>13</v>
      </c>
      <c r="J43" s="12" t="s">
        <v>81</v>
      </c>
    </row>
    <row r="44" spans="1:10" x14ac:dyDescent="0.35">
      <c r="A44" s="12" t="s">
        <v>256</v>
      </c>
      <c r="B44" s="13" t="s">
        <v>255</v>
      </c>
      <c r="D44" s="12" t="s">
        <v>445</v>
      </c>
      <c r="E44" s="12" t="s">
        <v>113</v>
      </c>
      <c r="F44" s="4">
        <v>12</v>
      </c>
      <c r="G44" s="12" t="s">
        <v>113</v>
      </c>
      <c r="H44" s="3">
        <v>6.89</v>
      </c>
      <c r="I44" s="3">
        <v>13</v>
      </c>
      <c r="J44" s="12" t="s">
        <v>81</v>
      </c>
    </row>
    <row r="45" spans="1:10" x14ac:dyDescent="0.35">
      <c r="A45" s="12" t="s">
        <v>257</v>
      </c>
      <c r="B45" s="13" t="s">
        <v>255</v>
      </c>
      <c r="D45" s="12" t="s">
        <v>446</v>
      </c>
      <c r="E45" s="12" t="s">
        <v>113</v>
      </c>
      <c r="F45" s="4">
        <v>12</v>
      </c>
      <c r="G45" s="12" t="s">
        <v>113</v>
      </c>
      <c r="H45" s="3">
        <v>10.95</v>
      </c>
      <c r="I45" s="3">
        <v>15</v>
      </c>
      <c r="J45" s="12" t="s">
        <v>81</v>
      </c>
    </row>
    <row r="46" spans="1:10" x14ac:dyDescent="0.35">
      <c r="A46" s="12" t="s">
        <v>258</v>
      </c>
      <c r="B46" s="13" t="s">
        <v>255</v>
      </c>
      <c r="D46" s="12" t="s">
        <v>447</v>
      </c>
      <c r="E46" s="12" t="s">
        <v>113</v>
      </c>
      <c r="F46" s="4">
        <v>12</v>
      </c>
      <c r="G46" s="12" t="s">
        <v>113</v>
      </c>
      <c r="H46" s="3">
        <v>11.45</v>
      </c>
      <c r="I46" s="3">
        <v>17</v>
      </c>
      <c r="J46" s="12" t="s">
        <v>81</v>
      </c>
    </row>
    <row r="47" spans="1:10" x14ac:dyDescent="0.35">
      <c r="A47" s="12" t="s">
        <v>259</v>
      </c>
      <c r="B47" s="13" t="s">
        <v>260</v>
      </c>
      <c r="D47" s="12" t="s">
        <v>449</v>
      </c>
      <c r="E47" s="12" t="s">
        <v>113</v>
      </c>
      <c r="F47" s="4">
        <v>24</v>
      </c>
      <c r="G47" s="12" t="s">
        <v>113</v>
      </c>
      <c r="H47" s="3">
        <v>11.2</v>
      </c>
      <c r="I47" s="3">
        <v>17</v>
      </c>
      <c r="J47" s="12" t="s">
        <v>81</v>
      </c>
    </row>
    <row r="48" spans="1:10" x14ac:dyDescent="0.35">
      <c r="A48" s="12" t="s">
        <v>261</v>
      </c>
      <c r="B48" s="13" t="s">
        <v>262</v>
      </c>
      <c r="D48" s="12" t="s">
        <v>387</v>
      </c>
      <c r="E48" s="12" t="s">
        <v>113</v>
      </c>
      <c r="F48" s="4">
        <v>26</v>
      </c>
      <c r="G48" s="12" t="s">
        <v>113</v>
      </c>
      <c r="H48" s="3">
        <v>4.43</v>
      </c>
      <c r="I48" s="3">
        <v>9</v>
      </c>
      <c r="J48" s="12" t="s">
        <v>81</v>
      </c>
    </row>
    <row r="49" spans="1:10" x14ac:dyDescent="0.35">
      <c r="A49" s="12" t="s">
        <v>263</v>
      </c>
      <c r="B49" s="13" t="s">
        <v>264</v>
      </c>
      <c r="D49" s="12" t="s">
        <v>388</v>
      </c>
      <c r="E49" s="12" t="s">
        <v>113</v>
      </c>
      <c r="F49" s="4">
        <v>30</v>
      </c>
      <c r="G49" s="12" t="s">
        <v>113</v>
      </c>
      <c r="H49" s="3">
        <v>4.43</v>
      </c>
      <c r="I49" s="3">
        <v>9</v>
      </c>
      <c r="J49" s="12" t="s">
        <v>81</v>
      </c>
    </row>
    <row r="50" spans="1:10" x14ac:dyDescent="0.35">
      <c r="A50" s="12" t="s">
        <v>265</v>
      </c>
      <c r="B50" s="13" t="s">
        <v>266</v>
      </c>
      <c r="D50" s="12" t="s">
        <v>389</v>
      </c>
      <c r="E50" s="12" t="s">
        <v>113</v>
      </c>
      <c r="F50" s="4">
        <v>31</v>
      </c>
      <c r="G50" s="12" t="s">
        <v>113</v>
      </c>
      <c r="H50" s="3">
        <v>4.43</v>
      </c>
      <c r="I50" s="3">
        <v>9</v>
      </c>
      <c r="J50" s="12" t="s">
        <v>81</v>
      </c>
    </row>
    <row r="51" spans="1:10" x14ac:dyDescent="0.35">
      <c r="A51" s="12" t="s">
        <v>268</v>
      </c>
      <c r="B51" s="13" t="s">
        <v>269</v>
      </c>
      <c r="D51" s="12" t="s">
        <v>393</v>
      </c>
      <c r="E51" s="12" t="s">
        <v>113</v>
      </c>
      <c r="F51" s="4">
        <v>144</v>
      </c>
      <c r="G51" s="12" t="s">
        <v>113</v>
      </c>
      <c r="H51" s="3">
        <v>1.95</v>
      </c>
      <c r="I51" s="3">
        <v>5</v>
      </c>
      <c r="J51" s="12" t="s">
        <v>81</v>
      </c>
    </row>
    <row r="52" spans="1:10" x14ac:dyDescent="0.35">
      <c r="A52" s="12" t="s">
        <v>270</v>
      </c>
      <c r="B52" s="13" t="s">
        <v>271</v>
      </c>
      <c r="D52" s="12" t="s">
        <v>391</v>
      </c>
      <c r="E52" s="12" t="s">
        <v>113</v>
      </c>
      <c r="F52" s="4">
        <v>36</v>
      </c>
      <c r="G52" s="12" t="s">
        <v>113</v>
      </c>
      <c r="H52" s="3">
        <v>6.9</v>
      </c>
      <c r="I52" s="3">
        <v>10</v>
      </c>
      <c r="J52" s="12" t="s">
        <v>81</v>
      </c>
    </row>
    <row r="53" spans="1:10" x14ac:dyDescent="0.35">
      <c r="A53" s="12" t="s">
        <v>272</v>
      </c>
      <c r="B53" s="13" t="s">
        <v>271</v>
      </c>
      <c r="D53" s="12" t="s">
        <v>390</v>
      </c>
      <c r="E53" s="12" t="s">
        <v>113</v>
      </c>
      <c r="F53" s="4">
        <v>24</v>
      </c>
      <c r="G53" s="12" t="s">
        <v>113</v>
      </c>
      <c r="H53" s="3">
        <v>3.53</v>
      </c>
      <c r="I53" s="3">
        <v>6</v>
      </c>
      <c r="J53" s="12" t="s">
        <v>81</v>
      </c>
    </row>
    <row r="54" spans="1:10" x14ac:dyDescent="0.35">
      <c r="A54" s="12" t="s">
        <v>273</v>
      </c>
      <c r="B54" s="13" t="s">
        <v>271</v>
      </c>
      <c r="D54" s="12" t="s">
        <v>400</v>
      </c>
      <c r="E54" s="12" t="s">
        <v>113</v>
      </c>
      <c r="F54" s="4">
        <v>24</v>
      </c>
      <c r="G54" s="12" t="s">
        <v>113</v>
      </c>
      <c r="H54" s="3">
        <v>1.3</v>
      </c>
      <c r="I54" s="3">
        <v>3</v>
      </c>
      <c r="J54" s="12" t="s">
        <v>81</v>
      </c>
    </row>
    <row r="55" spans="1:10" x14ac:dyDescent="0.35">
      <c r="A55" s="12" t="s">
        <v>274</v>
      </c>
      <c r="B55" s="13" t="s">
        <v>275</v>
      </c>
      <c r="D55" s="12" t="s">
        <v>398</v>
      </c>
      <c r="E55" s="12" t="s">
        <v>113</v>
      </c>
      <c r="F55" s="4">
        <v>48</v>
      </c>
      <c r="G55" s="12" t="s">
        <v>113</v>
      </c>
      <c r="H55" s="3">
        <v>16.93</v>
      </c>
      <c r="I55" s="3">
        <v>25</v>
      </c>
      <c r="J55" s="12" t="s">
        <v>81</v>
      </c>
    </row>
    <row r="56" spans="1:10" x14ac:dyDescent="0.35">
      <c r="A56" s="12" t="s">
        <v>276</v>
      </c>
      <c r="B56" s="13" t="s">
        <v>277</v>
      </c>
      <c r="D56" s="12" t="s">
        <v>396</v>
      </c>
      <c r="E56" s="12" t="s">
        <v>113</v>
      </c>
      <c r="F56" s="4">
        <v>48</v>
      </c>
      <c r="G56" s="12" t="s">
        <v>113</v>
      </c>
      <c r="H56" s="3">
        <v>1.01</v>
      </c>
      <c r="I56" s="3">
        <v>9</v>
      </c>
      <c r="J56" s="12" t="s">
        <v>81</v>
      </c>
    </row>
    <row r="57" spans="1:10" x14ac:dyDescent="0.35">
      <c r="A57" s="12" t="s">
        <v>278</v>
      </c>
      <c r="B57" s="13" t="s">
        <v>277</v>
      </c>
      <c r="D57" s="12" t="s">
        <v>397</v>
      </c>
      <c r="E57" s="12" t="s">
        <v>113</v>
      </c>
      <c r="F57" s="4">
        <v>48</v>
      </c>
      <c r="G57" s="12" t="s">
        <v>113</v>
      </c>
      <c r="H57" s="3">
        <v>0.40600000000000003</v>
      </c>
      <c r="I57" s="3">
        <v>7</v>
      </c>
      <c r="J57" s="12" t="s">
        <v>81</v>
      </c>
    </row>
    <row r="58" spans="1:10" x14ac:dyDescent="0.35">
      <c r="A58" s="12" t="s">
        <v>279</v>
      </c>
      <c r="B58" s="13" t="s">
        <v>280</v>
      </c>
      <c r="D58" s="12" t="s">
        <v>394</v>
      </c>
      <c r="E58" s="12" t="s">
        <v>113</v>
      </c>
      <c r="F58" s="4">
        <v>23</v>
      </c>
      <c r="G58" s="12" t="s">
        <v>113</v>
      </c>
      <c r="H58" s="3">
        <v>4.87</v>
      </c>
      <c r="I58" s="3">
        <v>10</v>
      </c>
      <c r="J58" s="12" t="s">
        <v>81</v>
      </c>
    </row>
    <row r="59" spans="1:10" x14ac:dyDescent="0.35">
      <c r="A59" s="12" t="s">
        <v>281</v>
      </c>
      <c r="B59" s="13" t="s">
        <v>282</v>
      </c>
      <c r="D59" s="12" t="s">
        <v>395</v>
      </c>
      <c r="E59" s="12" t="s">
        <v>113</v>
      </c>
      <c r="F59" s="4">
        <v>72</v>
      </c>
      <c r="G59" s="12" t="s">
        <v>113</v>
      </c>
      <c r="H59" s="3">
        <v>2.0299999999999998</v>
      </c>
      <c r="I59" s="3">
        <v>5</v>
      </c>
      <c r="J59" s="12" t="s">
        <v>81</v>
      </c>
    </row>
    <row r="60" spans="1:10" x14ac:dyDescent="0.35">
      <c r="A60" s="12" t="s">
        <v>283</v>
      </c>
      <c r="B60" s="13" t="s">
        <v>284</v>
      </c>
      <c r="D60" s="12" t="s">
        <v>399</v>
      </c>
      <c r="E60" s="12" t="s">
        <v>113</v>
      </c>
      <c r="F60" s="4">
        <v>120</v>
      </c>
      <c r="G60" s="12" t="s">
        <v>113</v>
      </c>
      <c r="H60" s="3">
        <v>1.68</v>
      </c>
      <c r="I60" s="3">
        <v>4</v>
      </c>
      <c r="J60" s="12" t="s">
        <v>81</v>
      </c>
    </row>
    <row r="61" spans="1:10" x14ac:dyDescent="0.35">
      <c r="A61" s="12" t="s">
        <v>285</v>
      </c>
      <c r="B61" s="13" t="s">
        <v>286</v>
      </c>
      <c r="D61" s="12" t="s">
        <v>392</v>
      </c>
      <c r="E61" s="12" t="s">
        <v>113</v>
      </c>
      <c r="F61" s="4">
        <v>24</v>
      </c>
      <c r="G61" s="12" t="s">
        <v>113</v>
      </c>
      <c r="H61" s="3">
        <v>3.52</v>
      </c>
      <c r="I61" s="3">
        <v>6</v>
      </c>
      <c r="J61" s="12" t="s">
        <v>81</v>
      </c>
    </row>
    <row r="62" spans="1:10" x14ac:dyDescent="0.35">
      <c r="A62" s="12" t="s">
        <v>287</v>
      </c>
      <c r="B62" s="13" t="s">
        <v>235</v>
      </c>
      <c r="D62" s="12" t="s">
        <v>450</v>
      </c>
      <c r="E62" s="12" t="s">
        <v>113</v>
      </c>
      <c r="F62" s="4">
        <v>48</v>
      </c>
      <c r="G62" s="12" t="s">
        <v>113</v>
      </c>
      <c r="H62" s="3">
        <v>2.83</v>
      </c>
      <c r="I62" s="3">
        <v>5</v>
      </c>
      <c r="J62" s="12" t="s">
        <v>81</v>
      </c>
    </row>
    <row r="63" spans="1:10" x14ac:dyDescent="0.35">
      <c r="A63" s="12" t="s">
        <v>288</v>
      </c>
      <c r="B63" s="13" t="s">
        <v>289</v>
      </c>
      <c r="D63" s="12" t="s">
        <v>405</v>
      </c>
      <c r="E63" s="12" t="s">
        <v>113</v>
      </c>
      <c r="F63" s="4">
        <v>120</v>
      </c>
      <c r="G63" s="12" t="s">
        <v>113</v>
      </c>
      <c r="H63" s="3">
        <v>3.14</v>
      </c>
      <c r="I63" s="3">
        <v>5</v>
      </c>
      <c r="J63" s="12" t="s">
        <v>81</v>
      </c>
    </row>
    <row r="64" spans="1:10" x14ac:dyDescent="0.35">
      <c r="A64" s="12" t="s">
        <v>290</v>
      </c>
      <c r="B64" s="13" t="s">
        <v>231</v>
      </c>
      <c r="D64" s="12" t="s">
        <v>401</v>
      </c>
      <c r="E64" s="12" t="s">
        <v>113</v>
      </c>
      <c r="F64" s="4">
        <v>144</v>
      </c>
      <c r="G64" s="12" t="s">
        <v>113</v>
      </c>
      <c r="H64" s="3">
        <v>1.42</v>
      </c>
      <c r="I64" s="3">
        <v>3</v>
      </c>
      <c r="J64" s="12" t="s">
        <v>81</v>
      </c>
    </row>
    <row r="65" spans="1:10" x14ac:dyDescent="0.35">
      <c r="A65" s="12" t="s">
        <v>291</v>
      </c>
      <c r="B65" s="13" t="s">
        <v>231</v>
      </c>
      <c r="D65" s="12" t="s">
        <v>402</v>
      </c>
      <c r="E65" s="12" t="s">
        <v>113</v>
      </c>
      <c r="F65" s="4">
        <v>48</v>
      </c>
      <c r="G65" s="12" t="s">
        <v>113</v>
      </c>
      <c r="H65" s="3">
        <v>5.24</v>
      </c>
      <c r="I65" s="3">
        <v>8</v>
      </c>
      <c r="J65" s="12" t="s">
        <v>81</v>
      </c>
    </row>
    <row r="66" spans="1:10" x14ac:dyDescent="0.35">
      <c r="A66" s="12" t="s">
        <v>292</v>
      </c>
      <c r="B66" s="13" t="s">
        <v>231</v>
      </c>
      <c r="D66" s="12" t="s">
        <v>403</v>
      </c>
      <c r="E66" s="12" t="s">
        <v>113</v>
      </c>
      <c r="F66" s="4">
        <v>36</v>
      </c>
      <c r="G66" s="12" t="s">
        <v>113</v>
      </c>
      <c r="H66" s="3">
        <v>2.73</v>
      </c>
      <c r="I66" s="3">
        <v>4</v>
      </c>
      <c r="J66" s="12" t="s">
        <v>81</v>
      </c>
    </row>
    <row r="67" spans="1:10" x14ac:dyDescent="0.35">
      <c r="A67" s="12" t="s">
        <v>293</v>
      </c>
      <c r="B67" s="13" t="s">
        <v>231</v>
      </c>
      <c r="D67" s="12" t="s">
        <v>407</v>
      </c>
      <c r="E67" s="12" t="s">
        <v>113</v>
      </c>
      <c r="F67" s="4">
        <v>12</v>
      </c>
      <c r="G67" s="12" t="s">
        <v>113</v>
      </c>
      <c r="H67" s="3">
        <v>4.55</v>
      </c>
      <c r="I67" s="3">
        <v>7</v>
      </c>
      <c r="J67" s="12" t="s">
        <v>81</v>
      </c>
    </row>
    <row r="68" spans="1:10" x14ac:dyDescent="0.35">
      <c r="A68" s="12" t="s">
        <v>294</v>
      </c>
      <c r="B68" s="13" t="s">
        <v>231</v>
      </c>
      <c r="D68" s="12" t="s">
        <v>408</v>
      </c>
      <c r="E68" s="12" t="s">
        <v>113</v>
      </c>
      <c r="F68" s="4">
        <v>96</v>
      </c>
      <c r="G68" s="12" t="s">
        <v>113</v>
      </c>
      <c r="H68" s="3">
        <v>1.82</v>
      </c>
      <c r="I68" s="3">
        <v>3</v>
      </c>
      <c r="J68" s="12" t="s">
        <v>81</v>
      </c>
    </row>
    <row r="69" spans="1:10" x14ac:dyDescent="0.35">
      <c r="A69" s="12" t="s">
        <v>295</v>
      </c>
      <c r="B69" s="13" t="s">
        <v>231</v>
      </c>
      <c r="D69" s="12" t="s">
        <v>501</v>
      </c>
      <c r="E69" s="12" t="s">
        <v>113</v>
      </c>
      <c r="F69" s="4">
        <v>48</v>
      </c>
      <c r="G69" s="12" t="s">
        <v>113</v>
      </c>
      <c r="H69" s="3">
        <v>2.64</v>
      </c>
      <c r="I69" s="3">
        <v>4</v>
      </c>
      <c r="J69" s="12" t="s">
        <v>81</v>
      </c>
    </row>
    <row r="70" spans="1:10" x14ac:dyDescent="0.35">
      <c r="A70" s="15" t="s">
        <v>296</v>
      </c>
      <c r="B70" s="13" t="s">
        <v>231</v>
      </c>
      <c r="D70" s="12" t="s">
        <v>665</v>
      </c>
      <c r="E70" s="12" t="s">
        <v>113</v>
      </c>
      <c r="F70" s="4">
        <v>36</v>
      </c>
      <c r="G70" s="12" t="s">
        <v>113</v>
      </c>
      <c r="H70" s="3">
        <v>3.04</v>
      </c>
      <c r="I70" s="3">
        <v>5</v>
      </c>
      <c r="J70" s="12" t="s">
        <v>81</v>
      </c>
    </row>
    <row r="71" spans="1:10" x14ac:dyDescent="0.35">
      <c r="A71" s="12" t="s">
        <v>297</v>
      </c>
      <c r="B71" s="13" t="s">
        <v>231</v>
      </c>
      <c r="D71" s="12" t="s">
        <v>404</v>
      </c>
      <c r="E71" s="12" t="s">
        <v>113</v>
      </c>
      <c r="F71" s="4">
        <v>48</v>
      </c>
      <c r="G71" s="12" t="s">
        <v>113</v>
      </c>
      <c r="H71" s="3">
        <v>4.55</v>
      </c>
      <c r="I71" s="3">
        <v>7</v>
      </c>
      <c r="J71" s="12" t="s">
        <v>81</v>
      </c>
    </row>
    <row r="72" spans="1:10" x14ac:dyDescent="0.35">
      <c r="A72" s="12" t="s">
        <v>298</v>
      </c>
      <c r="B72" s="13" t="s">
        <v>231</v>
      </c>
      <c r="D72" s="12" t="s">
        <v>499</v>
      </c>
      <c r="E72" s="12" t="s">
        <v>113</v>
      </c>
      <c r="F72" s="4">
        <v>36</v>
      </c>
      <c r="G72" s="12" t="s">
        <v>113</v>
      </c>
      <c r="H72" s="3">
        <v>3.94</v>
      </c>
      <c r="I72" s="3">
        <v>6</v>
      </c>
      <c r="J72" s="12" t="s">
        <v>81</v>
      </c>
    </row>
    <row r="73" spans="1:10" x14ac:dyDescent="0.35">
      <c r="A73" s="12" t="s">
        <v>299</v>
      </c>
      <c r="B73" s="13" t="s">
        <v>231</v>
      </c>
      <c r="D73" s="12" t="s">
        <v>500</v>
      </c>
      <c r="E73" s="12" t="s">
        <v>113</v>
      </c>
      <c r="F73" s="4">
        <v>120</v>
      </c>
      <c r="G73" s="12" t="s">
        <v>113</v>
      </c>
      <c r="H73" s="3">
        <v>2.3199999999999998</v>
      </c>
      <c r="I73" s="3">
        <v>4</v>
      </c>
      <c r="J73" s="12" t="s">
        <v>81</v>
      </c>
    </row>
    <row r="74" spans="1:10" x14ac:dyDescent="0.35">
      <c r="A74" s="12" t="s">
        <v>300</v>
      </c>
      <c r="B74" s="13" t="s">
        <v>301</v>
      </c>
      <c r="D74" s="12" t="s">
        <v>453</v>
      </c>
      <c r="E74" s="12" t="s">
        <v>113</v>
      </c>
      <c r="F74" s="4">
        <v>41</v>
      </c>
      <c r="G74" s="12" t="s">
        <v>113</v>
      </c>
      <c r="H74" s="3">
        <v>0.25</v>
      </c>
      <c r="I74" s="3">
        <v>7</v>
      </c>
      <c r="J74" s="12" t="s">
        <v>81</v>
      </c>
    </row>
    <row r="75" spans="1:10" x14ac:dyDescent="0.35">
      <c r="A75" s="12" t="s">
        <v>302</v>
      </c>
      <c r="B75" s="13" t="s">
        <v>301</v>
      </c>
      <c r="D75" s="12" t="s">
        <v>455</v>
      </c>
      <c r="E75" s="12" t="s">
        <v>113</v>
      </c>
      <c r="F75" s="4">
        <v>48</v>
      </c>
      <c r="G75" s="12" t="s">
        <v>113</v>
      </c>
      <c r="H75" s="3">
        <v>0.49</v>
      </c>
      <c r="I75" s="3">
        <v>7</v>
      </c>
      <c r="J75" s="12" t="s">
        <v>81</v>
      </c>
    </row>
    <row r="76" spans="1:10" x14ac:dyDescent="0.35">
      <c r="A76" s="12" t="s">
        <v>303</v>
      </c>
      <c r="B76" s="13" t="s">
        <v>228</v>
      </c>
      <c r="D76" s="12" t="s">
        <v>451</v>
      </c>
      <c r="E76" s="12" t="s">
        <v>113</v>
      </c>
      <c r="F76" s="4">
        <v>48</v>
      </c>
      <c r="G76" s="12" t="s">
        <v>113</v>
      </c>
      <c r="H76" s="3">
        <v>1.71</v>
      </c>
      <c r="I76" s="3">
        <v>9</v>
      </c>
      <c r="J76" s="12" t="s">
        <v>81</v>
      </c>
    </row>
    <row r="77" spans="1:10" x14ac:dyDescent="0.35">
      <c r="A77" s="12" t="s">
        <v>304</v>
      </c>
      <c r="B77" s="13" t="s">
        <v>305</v>
      </c>
      <c r="D77" s="12" t="s">
        <v>452</v>
      </c>
      <c r="E77" s="12" t="s">
        <v>113</v>
      </c>
      <c r="F77" s="4">
        <v>48</v>
      </c>
      <c r="G77" s="12" t="s">
        <v>113</v>
      </c>
      <c r="H77" s="3">
        <v>1.71</v>
      </c>
      <c r="I77" s="3">
        <v>9</v>
      </c>
      <c r="J77" s="12" t="s">
        <v>81</v>
      </c>
    </row>
    <row r="78" spans="1:10" x14ac:dyDescent="0.35">
      <c r="A78" s="12" t="s">
        <v>306</v>
      </c>
      <c r="B78" s="13" t="s">
        <v>301</v>
      </c>
      <c r="D78" s="12" t="s">
        <v>454</v>
      </c>
      <c r="E78" s="12" t="s">
        <v>113</v>
      </c>
      <c r="F78" s="4">
        <v>45</v>
      </c>
      <c r="G78" s="12" t="s">
        <v>113</v>
      </c>
      <c r="H78" s="3">
        <v>0.25</v>
      </c>
      <c r="I78" s="3">
        <v>7</v>
      </c>
      <c r="J78" s="12" t="s">
        <v>81</v>
      </c>
    </row>
    <row r="79" spans="1:10" x14ac:dyDescent="0.35">
      <c r="A79" s="12" t="s">
        <v>307</v>
      </c>
      <c r="B79" s="13" t="s">
        <v>308</v>
      </c>
      <c r="D79" s="12" t="s">
        <v>456</v>
      </c>
      <c r="E79" s="12" t="s">
        <v>113</v>
      </c>
      <c r="F79" s="4">
        <v>10</v>
      </c>
      <c r="G79" s="12" t="s">
        <v>113</v>
      </c>
      <c r="H79" s="3">
        <v>46.78</v>
      </c>
      <c r="I79" s="3">
        <v>65</v>
      </c>
      <c r="J79" s="12" t="s">
        <v>81</v>
      </c>
    </row>
    <row r="80" spans="1:10" x14ac:dyDescent="0.35">
      <c r="A80" s="12" t="s">
        <v>309</v>
      </c>
      <c r="B80" s="13" t="s">
        <v>310</v>
      </c>
      <c r="D80" s="12" t="s">
        <v>457</v>
      </c>
      <c r="E80" s="12" t="s">
        <v>113</v>
      </c>
      <c r="F80" s="4">
        <v>12</v>
      </c>
      <c r="G80" s="12" t="s">
        <v>113</v>
      </c>
      <c r="H80" s="3">
        <v>5.41</v>
      </c>
      <c r="I80" s="3">
        <v>10</v>
      </c>
      <c r="J80" s="12" t="s">
        <v>81</v>
      </c>
    </row>
    <row r="81" spans="1:10" x14ac:dyDescent="0.35">
      <c r="A81" s="12" t="s">
        <v>311</v>
      </c>
      <c r="B81" s="13" t="s">
        <v>267</v>
      </c>
      <c r="D81" s="12" t="s">
        <v>458</v>
      </c>
      <c r="E81" s="12" t="s">
        <v>113</v>
      </c>
      <c r="F81" s="4">
        <v>12</v>
      </c>
      <c r="G81" s="12" t="s">
        <v>113</v>
      </c>
      <c r="H81" s="3">
        <v>11.28</v>
      </c>
      <c r="I81" s="3">
        <v>15</v>
      </c>
      <c r="J81" s="12" t="s">
        <v>81</v>
      </c>
    </row>
    <row r="82" spans="1:10" x14ac:dyDescent="0.35">
      <c r="A82" s="12" t="s">
        <v>312</v>
      </c>
      <c r="B82" s="13" t="s">
        <v>267</v>
      </c>
      <c r="D82" s="12" t="s">
        <v>459</v>
      </c>
      <c r="E82" s="12" t="s">
        <v>113</v>
      </c>
      <c r="F82" s="4">
        <v>12</v>
      </c>
      <c r="G82" s="12" t="s">
        <v>113</v>
      </c>
      <c r="H82" s="3">
        <v>11.48</v>
      </c>
      <c r="I82" s="3">
        <v>15</v>
      </c>
      <c r="J82" s="12" t="s">
        <v>81</v>
      </c>
    </row>
    <row r="83" spans="1:10" x14ac:dyDescent="0.35">
      <c r="A83" s="12" t="s">
        <v>313</v>
      </c>
      <c r="B83" s="13" t="s">
        <v>267</v>
      </c>
      <c r="D83" s="12" t="s">
        <v>460</v>
      </c>
      <c r="E83" s="12" t="s">
        <v>113</v>
      </c>
      <c r="F83" s="4">
        <v>12</v>
      </c>
      <c r="G83" s="12" t="s">
        <v>113</v>
      </c>
      <c r="H83" s="3">
        <v>11.16</v>
      </c>
      <c r="I83" s="3">
        <v>15</v>
      </c>
      <c r="J83" s="12" t="s">
        <v>81</v>
      </c>
    </row>
    <row r="84" spans="1:10" x14ac:dyDescent="0.35">
      <c r="A84" s="12" t="s">
        <v>314</v>
      </c>
      <c r="B84" s="13" t="s">
        <v>271</v>
      </c>
      <c r="D84" s="12" t="s">
        <v>461</v>
      </c>
      <c r="E84" s="12" t="s">
        <v>113</v>
      </c>
      <c r="F84" s="4">
        <v>10</v>
      </c>
      <c r="G84" s="12" t="s">
        <v>113</v>
      </c>
      <c r="H84" s="3">
        <v>8.8800000000000008</v>
      </c>
      <c r="I84" s="3">
        <v>15</v>
      </c>
      <c r="J84" s="12" t="s">
        <v>81</v>
      </c>
    </row>
    <row r="85" spans="1:10" x14ac:dyDescent="0.35">
      <c r="A85" s="12" t="s">
        <v>315</v>
      </c>
      <c r="B85" s="13" t="s">
        <v>316</v>
      </c>
      <c r="D85" s="12" t="s">
        <v>532</v>
      </c>
      <c r="E85" s="12" t="s">
        <v>113</v>
      </c>
      <c r="F85" s="4">
        <v>11</v>
      </c>
      <c r="G85" s="12" t="s">
        <v>113</v>
      </c>
      <c r="H85" s="3">
        <v>5.91</v>
      </c>
      <c r="I85" s="3">
        <v>9</v>
      </c>
      <c r="J85" s="12" t="s">
        <v>81</v>
      </c>
    </row>
    <row r="86" spans="1:10" x14ac:dyDescent="0.35">
      <c r="A86" s="12" t="s">
        <v>317</v>
      </c>
      <c r="B86" s="13" t="s">
        <v>269</v>
      </c>
      <c r="D86" s="12" t="s">
        <v>464</v>
      </c>
      <c r="E86" s="12" t="s">
        <v>113</v>
      </c>
      <c r="F86" s="4">
        <v>12</v>
      </c>
      <c r="G86" s="12" t="s">
        <v>113</v>
      </c>
      <c r="H86" s="3">
        <v>3.15</v>
      </c>
      <c r="I86" s="3">
        <v>5</v>
      </c>
      <c r="J86" s="12" t="s">
        <v>81</v>
      </c>
    </row>
    <row r="87" spans="1:10" x14ac:dyDescent="0.35">
      <c r="A87" s="12" t="s">
        <v>318</v>
      </c>
      <c r="B87" s="13" t="s">
        <v>269</v>
      </c>
      <c r="D87" s="12" t="s">
        <v>463</v>
      </c>
      <c r="E87" s="12" t="s">
        <v>113</v>
      </c>
      <c r="F87" s="4">
        <v>12</v>
      </c>
      <c r="G87" s="12" t="s">
        <v>113</v>
      </c>
      <c r="H87" s="3">
        <v>3.15</v>
      </c>
      <c r="I87" s="3">
        <v>5</v>
      </c>
      <c r="J87" s="12" t="s">
        <v>81</v>
      </c>
    </row>
    <row r="88" spans="1:10" x14ac:dyDescent="0.35">
      <c r="A88" s="12" t="s">
        <v>319</v>
      </c>
      <c r="B88" s="13" t="s">
        <v>320</v>
      </c>
      <c r="D88" s="12" t="s">
        <v>426</v>
      </c>
      <c r="E88" s="12" t="s">
        <v>113</v>
      </c>
      <c r="F88" s="4">
        <v>11</v>
      </c>
      <c r="G88" s="12" t="s">
        <v>113</v>
      </c>
      <c r="H88" s="3">
        <v>8.18</v>
      </c>
      <c r="I88" s="3">
        <v>15</v>
      </c>
      <c r="J88" s="12" t="s">
        <v>81</v>
      </c>
    </row>
    <row r="89" spans="1:10" x14ac:dyDescent="0.35">
      <c r="A89" s="12" t="s">
        <v>321</v>
      </c>
      <c r="B89" s="13" t="s">
        <v>322</v>
      </c>
      <c r="D89" s="12" t="s">
        <v>427</v>
      </c>
      <c r="E89" s="12" t="s">
        <v>113</v>
      </c>
      <c r="F89" s="4">
        <v>11</v>
      </c>
      <c r="G89" s="12" t="s">
        <v>113</v>
      </c>
      <c r="H89" s="3">
        <v>6.66</v>
      </c>
      <c r="I89" s="3">
        <v>15</v>
      </c>
      <c r="J89" s="12" t="s">
        <v>81</v>
      </c>
    </row>
    <row r="90" spans="1:10" x14ac:dyDescent="0.35">
      <c r="A90" s="12" t="s">
        <v>323</v>
      </c>
      <c r="B90" s="13" t="s">
        <v>322</v>
      </c>
      <c r="D90" s="12" t="s">
        <v>426</v>
      </c>
      <c r="E90" s="12" t="s">
        <v>113</v>
      </c>
      <c r="F90" s="4">
        <v>12</v>
      </c>
      <c r="G90" s="12" t="s">
        <v>113</v>
      </c>
      <c r="H90" s="3">
        <v>7.03</v>
      </c>
      <c r="I90" s="3">
        <v>15</v>
      </c>
      <c r="J90" s="12" t="s">
        <v>81</v>
      </c>
    </row>
    <row r="91" spans="1:10" x14ac:dyDescent="0.35">
      <c r="A91" s="12" t="s">
        <v>324</v>
      </c>
      <c r="B91" s="13" t="s">
        <v>325</v>
      </c>
      <c r="D91" s="12" t="s">
        <v>465</v>
      </c>
      <c r="E91" s="12" t="s">
        <v>113</v>
      </c>
      <c r="F91" s="4">
        <v>24</v>
      </c>
      <c r="G91" s="12" t="s">
        <v>113</v>
      </c>
      <c r="H91" s="3">
        <v>3.44</v>
      </c>
      <c r="I91" s="3">
        <v>7</v>
      </c>
      <c r="J91" s="12" t="s">
        <v>81</v>
      </c>
    </row>
    <row r="92" spans="1:10" x14ac:dyDescent="0.35">
      <c r="A92" s="12" t="s">
        <v>326</v>
      </c>
      <c r="B92" s="13" t="s">
        <v>327</v>
      </c>
      <c r="D92" s="12" t="s">
        <v>466</v>
      </c>
      <c r="E92" s="12" t="s">
        <v>113</v>
      </c>
      <c r="F92" s="4">
        <v>120</v>
      </c>
      <c r="G92" s="12" t="s">
        <v>113</v>
      </c>
      <c r="H92" s="3">
        <v>0.75</v>
      </c>
      <c r="I92" s="3">
        <v>3</v>
      </c>
      <c r="J92" s="12" t="s">
        <v>81</v>
      </c>
    </row>
    <row r="93" spans="1:10" x14ac:dyDescent="0.35">
      <c r="A93" s="12" t="s">
        <v>328</v>
      </c>
      <c r="B93" s="13" t="s">
        <v>329</v>
      </c>
      <c r="D93" s="12" t="s">
        <v>467</v>
      </c>
      <c r="E93" s="12" t="s">
        <v>113</v>
      </c>
      <c r="F93" s="4">
        <v>60</v>
      </c>
      <c r="G93" s="12" t="s">
        <v>113</v>
      </c>
      <c r="H93" s="3">
        <v>2.7</v>
      </c>
      <c r="I93" s="3">
        <v>7</v>
      </c>
      <c r="J93" s="12" t="s">
        <v>81</v>
      </c>
    </row>
    <row r="94" spans="1:10" x14ac:dyDescent="0.35">
      <c r="A94" s="12" t="s">
        <v>330</v>
      </c>
      <c r="B94" s="13" t="s">
        <v>331</v>
      </c>
      <c r="D94" s="12" t="s">
        <v>468</v>
      </c>
      <c r="E94" s="12" t="s">
        <v>113</v>
      </c>
      <c r="F94" s="4">
        <v>48</v>
      </c>
      <c r="G94" s="12" t="s">
        <v>113</v>
      </c>
      <c r="H94" s="3">
        <v>1.1000000000000001</v>
      </c>
      <c r="I94" s="3">
        <v>5</v>
      </c>
      <c r="J94" s="12" t="s">
        <v>81</v>
      </c>
    </row>
    <row r="95" spans="1:10" x14ac:dyDescent="0.35">
      <c r="A95" s="12" t="s">
        <v>332</v>
      </c>
      <c r="B95" s="13" t="s">
        <v>247</v>
      </c>
      <c r="D95" s="12" t="s">
        <v>469</v>
      </c>
      <c r="E95" s="12" t="s">
        <v>113</v>
      </c>
      <c r="F95" s="4">
        <v>36</v>
      </c>
      <c r="G95" s="12" t="s">
        <v>113</v>
      </c>
      <c r="H95" s="3">
        <v>2.77</v>
      </c>
      <c r="I95" s="3">
        <v>7</v>
      </c>
      <c r="J95" s="12" t="s">
        <v>81</v>
      </c>
    </row>
    <row r="96" spans="1:10" x14ac:dyDescent="0.35">
      <c r="A96" s="12" t="s">
        <v>333</v>
      </c>
      <c r="B96" s="13" t="s">
        <v>289</v>
      </c>
      <c r="D96" s="12" t="s">
        <v>412</v>
      </c>
      <c r="E96" s="12" t="s">
        <v>113</v>
      </c>
      <c r="F96" s="4">
        <v>36</v>
      </c>
      <c r="G96" s="12" t="s">
        <v>113</v>
      </c>
      <c r="H96" s="3">
        <v>6.74</v>
      </c>
      <c r="I96" s="3">
        <v>10</v>
      </c>
      <c r="J96" s="12" t="s">
        <v>81</v>
      </c>
    </row>
    <row r="97" spans="1:10" x14ac:dyDescent="0.35">
      <c r="A97" s="12" t="s">
        <v>334</v>
      </c>
      <c r="B97" s="13" t="s">
        <v>335</v>
      </c>
      <c r="D97" s="12" t="s">
        <v>470</v>
      </c>
      <c r="E97" s="12" t="s">
        <v>113</v>
      </c>
      <c r="F97" s="4">
        <v>564</v>
      </c>
      <c r="G97" s="12" t="s">
        <v>113</v>
      </c>
      <c r="H97" s="3">
        <v>0.4</v>
      </c>
      <c r="I97" s="3">
        <v>7</v>
      </c>
      <c r="J97" s="12" t="s">
        <v>81</v>
      </c>
    </row>
    <row r="98" spans="1:10" x14ac:dyDescent="0.35">
      <c r="A98" s="12" t="s">
        <v>336</v>
      </c>
      <c r="B98" s="13" t="s">
        <v>335</v>
      </c>
      <c r="D98" s="12" t="s">
        <v>471</v>
      </c>
      <c r="E98" s="12" t="s">
        <v>113</v>
      </c>
      <c r="F98" s="4">
        <v>576</v>
      </c>
      <c r="G98" s="12" t="s">
        <v>113</v>
      </c>
      <c r="H98" s="3">
        <v>0.4</v>
      </c>
      <c r="I98" s="3">
        <v>7</v>
      </c>
      <c r="J98" s="12" t="s">
        <v>81</v>
      </c>
    </row>
    <row r="99" spans="1:10" x14ac:dyDescent="0.35">
      <c r="A99" s="12" t="s">
        <v>337</v>
      </c>
      <c r="B99" s="13" t="s">
        <v>282</v>
      </c>
      <c r="D99" s="12" t="s">
        <v>473</v>
      </c>
      <c r="E99" s="12" t="s">
        <v>113</v>
      </c>
      <c r="F99" s="4">
        <v>48</v>
      </c>
      <c r="G99" s="12" t="s">
        <v>113</v>
      </c>
      <c r="H99" s="3">
        <v>3.61</v>
      </c>
      <c r="I99" s="3">
        <v>6</v>
      </c>
      <c r="J99" s="12" t="s">
        <v>81</v>
      </c>
    </row>
    <row r="100" spans="1:10" x14ac:dyDescent="0.35">
      <c r="A100" s="12" t="s">
        <v>338</v>
      </c>
      <c r="B100" s="13" t="s">
        <v>378</v>
      </c>
      <c r="D100" s="12" t="s">
        <v>472</v>
      </c>
      <c r="E100" s="12" t="s">
        <v>113</v>
      </c>
      <c r="F100" s="4">
        <v>11</v>
      </c>
      <c r="G100" s="12" t="s">
        <v>113</v>
      </c>
      <c r="H100" s="3">
        <v>22.88</v>
      </c>
      <c r="I100" s="3">
        <v>35</v>
      </c>
      <c r="J100" s="12" t="s">
        <v>81</v>
      </c>
    </row>
    <row r="101" spans="1:10" x14ac:dyDescent="0.35">
      <c r="A101" s="12" t="s">
        <v>339</v>
      </c>
      <c r="B101" s="13" t="s">
        <v>340</v>
      </c>
      <c r="D101" s="12" t="s">
        <v>474</v>
      </c>
      <c r="E101" s="12" t="s">
        <v>113</v>
      </c>
      <c r="F101" s="4">
        <v>22</v>
      </c>
      <c r="G101" s="12" t="s">
        <v>113</v>
      </c>
      <c r="H101" s="3">
        <v>18.11</v>
      </c>
      <c r="I101" s="3">
        <v>27</v>
      </c>
      <c r="J101" s="12" t="s">
        <v>81</v>
      </c>
    </row>
    <row r="102" spans="1:10" x14ac:dyDescent="0.35">
      <c r="A102" s="12" t="s">
        <v>341</v>
      </c>
      <c r="B102" s="13" t="s">
        <v>342</v>
      </c>
      <c r="D102" s="12" t="s">
        <v>475</v>
      </c>
      <c r="E102" s="12" t="s">
        <v>113</v>
      </c>
      <c r="F102" s="4">
        <v>12</v>
      </c>
      <c r="G102" s="12" t="s">
        <v>113</v>
      </c>
      <c r="H102" s="3">
        <v>26.14</v>
      </c>
      <c r="I102" s="3">
        <v>37</v>
      </c>
      <c r="J102" s="12" t="s">
        <v>81</v>
      </c>
    </row>
    <row r="103" spans="1:10" x14ac:dyDescent="0.35">
      <c r="A103" s="12" t="s">
        <v>343</v>
      </c>
      <c r="B103" s="13" t="s">
        <v>344</v>
      </c>
      <c r="D103" s="12" t="s">
        <v>476</v>
      </c>
      <c r="E103" s="12" t="s">
        <v>113</v>
      </c>
      <c r="F103" s="4">
        <v>24</v>
      </c>
      <c r="G103" s="12" t="s">
        <v>113</v>
      </c>
      <c r="H103" s="3">
        <v>26.07</v>
      </c>
      <c r="I103" s="3">
        <v>37</v>
      </c>
      <c r="J103" s="12" t="s">
        <v>81</v>
      </c>
    </row>
    <row r="104" spans="1:10" x14ac:dyDescent="0.35">
      <c r="A104" s="12" t="s">
        <v>345</v>
      </c>
      <c r="B104" s="13" t="s">
        <v>342</v>
      </c>
      <c r="D104" s="12" t="s">
        <v>477</v>
      </c>
      <c r="E104" s="12" t="s">
        <v>113</v>
      </c>
      <c r="F104" s="4">
        <v>10</v>
      </c>
      <c r="G104" s="12" t="s">
        <v>113</v>
      </c>
      <c r="H104" s="3">
        <v>11.02</v>
      </c>
      <c r="I104" s="3">
        <v>15</v>
      </c>
      <c r="J104" s="12" t="s">
        <v>81</v>
      </c>
    </row>
    <row r="105" spans="1:10" x14ac:dyDescent="0.35">
      <c r="A105" s="12" t="s">
        <v>346</v>
      </c>
      <c r="B105" s="13" t="s">
        <v>342</v>
      </c>
      <c r="D105" s="12" t="s">
        <v>478</v>
      </c>
      <c r="E105" s="12" t="s">
        <v>113</v>
      </c>
      <c r="F105" s="4">
        <v>35</v>
      </c>
      <c r="G105" s="12" t="s">
        <v>113</v>
      </c>
      <c r="H105" s="3">
        <v>10.92</v>
      </c>
      <c r="I105" s="3">
        <v>15</v>
      </c>
      <c r="J105" s="12" t="s">
        <v>81</v>
      </c>
    </row>
    <row r="106" spans="1:10" x14ac:dyDescent="0.35">
      <c r="A106" s="12" t="s">
        <v>347</v>
      </c>
      <c r="B106" s="13" t="s">
        <v>342</v>
      </c>
      <c r="D106" s="12" t="s">
        <v>479</v>
      </c>
      <c r="E106" s="12" t="s">
        <v>113</v>
      </c>
      <c r="F106" s="4">
        <v>24</v>
      </c>
      <c r="G106" s="12" t="s">
        <v>113</v>
      </c>
      <c r="H106" s="3">
        <v>10.45</v>
      </c>
      <c r="I106" s="3">
        <v>15</v>
      </c>
      <c r="J106" s="12" t="s">
        <v>81</v>
      </c>
    </row>
    <row r="107" spans="1:10" x14ac:dyDescent="0.35">
      <c r="A107" s="12" t="s">
        <v>349</v>
      </c>
      <c r="B107" s="13" t="s">
        <v>350</v>
      </c>
      <c r="D107" s="12" t="s">
        <v>481</v>
      </c>
      <c r="E107" s="12" t="s">
        <v>113</v>
      </c>
      <c r="F107" s="4">
        <v>84</v>
      </c>
      <c r="G107" s="12" t="s">
        <v>113</v>
      </c>
      <c r="H107" s="3">
        <v>2.0299999999999998</v>
      </c>
      <c r="I107" s="3">
        <v>4</v>
      </c>
      <c r="J107" s="12" t="s">
        <v>81</v>
      </c>
    </row>
    <row r="108" spans="1:10" x14ac:dyDescent="0.35">
      <c r="A108" s="12" t="s">
        <v>351</v>
      </c>
      <c r="B108" s="13" t="s">
        <v>352</v>
      </c>
      <c r="D108" s="12" t="s">
        <v>480</v>
      </c>
      <c r="E108" s="12" t="s">
        <v>113</v>
      </c>
      <c r="F108" s="4">
        <v>60</v>
      </c>
      <c r="G108" s="12" t="s">
        <v>113</v>
      </c>
      <c r="H108" s="3">
        <v>1.1399999999999999</v>
      </c>
      <c r="I108" s="3">
        <v>3</v>
      </c>
      <c r="J108" s="12" t="s">
        <v>81</v>
      </c>
    </row>
    <row r="109" spans="1:10" x14ac:dyDescent="0.35">
      <c r="A109" s="12" t="s">
        <v>353</v>
      </c>
      <c r="B109" s="13" t="s">
        <v>301</v>
      </c>
      <c r="D109" s="12" t="s">
        <v>482</v>
      </c>
      <c r="E109" s="12" t="s">
        <v>113</v>
      </c>
      <c r="F109" s="4">
        <v>48</v>
      </c>
      <c r="G109" s="12" t="s">
        <v>113</v>
      </c>
      <c r="H109" s="3">
        <v>0.49</v>
      </c>
      <c r="I109" s="3">
        <v>7</v>
      </c>
      <c r="J109" s="12" t="s">
        <v>81</v>
      </c>
    </row>
    <row r="110" spans="1:10" x14ac:dyDescent="0.35">
      <c r="A110" s="12" t="s">
        <v>354</v>
      </c>
      <c r="B110" s="13" t="s">
        <v>355</v>
      </c>
      <c r="D110" s="12" t="s">
        <v>483</v>
      </c>
      <c r="E110" s="12" t="s">
        <v>113</v>
      </c>
      <c r="F110" s="4">
        <v>756</v>
      </c>
      <c r="G110" s="12" t="s">
        <v>113</v>
      </c>
      <c r="H110" s="3">
        <v>0.56999999999999995</v>
      </c>
      <c r="I110" s="3">
        <v>4</v>
      </c>
      <c r="J110" s="12" t="s">
        <v>81</v>
      </c>
    </row>
    <row r="111" spans="1:10" x14ac:dyDescent="0.35">
      <c r="A111" s="12" t="s">
        <v>356</v>
      </c>
      <c r="B111" s="13" t="s">
        <v>355</v>
      </c>
      <c r="D111" s="12" t="s">
        <v>486</v>
      </c>
      <c r="E111" s="12" t="s">
        <v>113</v>
      </c>
      <c r="F111" s="4">
        <v>120</v>
      </c>
      <c r="G111" s="12" t="s">
        <v>113</v>
      </c>
      <c r="H111" s="3">
        <v>0.56499999999999995</v>
      </c>
      <c r="I111" s="3">
        <v>4</v>
      </c>
      <c r="J111" s="12" t="s">
        <v>81</v>
      </c>
    </row>
    <row r="112" spans="1:10" x14ac:dyDescent="0.35">
      <c r="A112" s="12" t="s">
        <v>357</v>
      </c>
      <c r="B112" s="13" t="s">
        <v>355</v>
      </c>
      <c r="D112" s="12" t="s">
        <v>484</v>
      </c>
      <c r="E112" s="12" t="s">
        <v>113</v>
      </c>
      <c r="F112" s="4">
        <v>120</v>
      </c>
      <c r="G112" s="12" t="s">
        <v>113</v>
      </c>
      <c r="H112" s="3">
        <v>0.32700000000000001</v>
      </c>
      <c r="I112" s="3">
        <v>4</v>
      </c>
      <c r="J112" s="12" t="s">
        <v>81</v>
      </c>
    </row>
    <row r="113" spans="1:10" x14ac:dyDescent="0.35">
      <c r="A113" s="12" t="s">
        <v>358</v>
      </c>
      <c r="B113" s="13" t="s">
        <v>355</v>
      </c>
      <c r="D113" s="12" t="s">
        <v>487</v>
      </c>
      <c r="E113" s="12" t="s">
        <v>113</v>
      </c>
      <c r="F113" s="4">
        <v>120</v>
      </c>
      <c r="G113" s="12" t="s">
        <v>113</v>
      </c>
      <c r="H113" s="3">
        <v>0.58299999999999996</v>
      </c>
      <c r="I113" s="3">
        <v>4</v>
      </c>
      <c r="J113" s="12" t="s">
        <v>81</v>
      </c>
    </row>
    <row r="114" spans="1:10" x14ac:dyDescent="0.35">
      <c r="A114" s="12" t="s">
        <v>359</v>
      </c>
      <c r="B114" s="13" t="s">
        <v>360</v>
      </c>
      <c r="D114" s="12" t="s">
        <v>485</v>
      </c>
      <c r="E114" s="12" t="s">
        <v>113</v>
      </c>
      <c r="F114" s="4">
        <v>120</v>
      </c>
      <c r="G114" s="12" t="s">
        <v>113</v>
      </c>
      <c r="H114" s="3">
        <v>0.78900000000000003</v>
      </c>
      <c r="I114" s="3">
        <v>5</v>
      </c>
      <c r="J114" s="12" t="s">
        <v>81</v>
      </c>
    </row>
    <row r="115" spans="1:10" x14ac:dyDescent="0.35">
      <c r="A115" s="12" t="s">
        <v>361</v>
      </c>
      <c r="B115" s="13" t="s">
        <v>362</v>
      </c>
      <c r="D115" s="12" t="s">
        <v>488</v>
      </c>
      <c r="E115" s="12" t="s">
        <v>113</v>
      </c>
      <c r="F115" s="4">
        <v>120</v>
      </c>
      <c r="G115" s="12" t="s">
        <v>113</v>
      </c>
      <c r="H115" s="3">
        <v>0.28899999999999998</v>
      </c>
      <c r="I115" s="3">
        <v>3</v>
      </c>
      <c r="J115" s="12" t="s">
        <v>81</v>
      </c>
    </row>
    <row r="116" spans="1:10" x14ac:dyDescent="0.35">
      <c r="A116" s="12" t="s">
        <v>363</v>
      </c>
      <c r="B116" s="13" t="s">
        <v>362</v>
      </c>
      <c r="D116" s="12" t="s">
        <v>490</v>
      </c>
      <c r="E116" s="12" t="s">
        <v>113</v>
      </c>
      <c r="F116" s="4">
        <v>120</v>
      </c>
      <c r="G116" s="12" t="s">
        <v>113</v>
      </c>
      <c r="H116" s="3">
        <v>0.88</v>
      </c>
      <c r="I116" s="3">
        <v>4</v>
      </c>
      <c r="J116" s="12" t="s">
        <v>81</v>
      </c>
    </row>
    <row r="117" spans="1:10" x14ac:dyDescent="0.35">
      <c r="A117" s="12" t="s">
        <v>364</v>
      </c>
      <c r="B117" s="13" t="s">
        <v>365</v>
      </c>
      <c r="D117" s="12" t="s">
        <v>489</v>
      </c>
      <c r="E117" s="12" t="s">
        <v>113</v>
      </c>
      <c r="F117" s="4">
        <v>120</v>
      </c>
      <c r="G117" s="12" t="s">
        <v>113</v>
      </c>
      <c r="H117" s="3">
        <v>0.32</v>
      </c>
      <c r="I117" s="3">
        <v>3</v>
      </c>
      <c r="J117" s="12" t="s">
        <v>81</v>
      </c>
    </row>
    <row r="118" spans="1:10" x14ac:dyDescent="0.35">
      <c r="A118" s="12" t="s">
        <v>366</v>
      </c>
      <c r="B118" s="13" t="s">
        <v>355</v>
      </c>
      <c r="D118" s="12" t="s">
        <v>491</v>
      </c>
      <c r="E118" s="12" t="s">
        <v>113</v>
      </c>
      <c r="F118" s="4">
        <v>120</v>
      </c>
      <c r="G118" s="12" t="s">
        <v>113</v>
      </c>
      <c r="H118" s="3">
        <v>0.66500000000000004</v>
      </c>
      <c r="I118" s="3">
        <v>4</v>
      </c>
      <c r="J118" s="12" t="s">
        <v>81</v>
      </c>
    </row>
    <row r="119" spans="1:10" x14ac:dyDescent="0.35">
      <c r="A119" s="12" t="s">
        <v>367</v>
      </c>
      <c r="B119" s="13" t="s">
        <v>368</v>
      </c>
      <c r="D119" s="12" t="s">
        <v>492</v>
      </c>
      <c r="E119" s="12" t="s">
        <v>113</v>
      </c>
      <c r="F119" s="4">
        <v>120</v>
      </c>
      <c r="G119" s="12" t="s">
        <v>113</v>
      </c>
      <c r="H119" s="3">
        <v>0.877</v>
      </c>
      <c r="I119" s="3">
        <v>4</v>
      </c>
      <c r="J119" s="12" t="s">
        <v>81</v>
      </c>
    </row>
    <row r="120" spans="1:10" x14ac:dyDescent="0.35">
      <c r="A120" s="12" t="s">
        <v>369</v>
      </c>
      <c r="B120" s="13" t="s">
        <v>370</v>
      </c>
      <c r="D120" s="12" t="s">
        <v>493</v>
      </c>
      <c r="E120" s="12" t="s">
        <v>113</v>
      </c>
      <c r="F120" s="4">
        <v>120</v>
      </c>
      <c r="G120" s="12" t="s">
        <v>113</v>
      </c>
      <c r="H120" s="3">
        <v>0.877</v>
      </c>
      <c r="I120" s="3">
        <v>4</v>
      </c>
      <c r="J120" s="12" t="s">
        <v>81</v>
      </c>
    </row>
    <row r="121" spans="1:10" x14ac:dyDescent="0.35">
      <c r="A121" s="12" t="s">
        <v>371</v>
      </c>
      <c r="B121" s="13" t="s">
        <v>372</v>
      </c>
      <c r="D121" s="12" t="s">
        <v>494</v>
      </c>
      <c r="E121" s="12" t="s">
        <v>113</v>
      </c>
      <c r="F121" s="4">
        <v>24</v>
      </c>
      <c r="G121" s="12" t="s">
        <v>113</v>
      </c>
      <c r="H121" s="3">
        <v>5.88</v>
      </c>
      <c r="I121" s="3">
        <v>12</v>
      </c>
      <c r="J121" s="12" t="s">
        <v>81</v>
      </c>
    </row>
    <row r="122" spans="1:10" x14ac:dyDescent="0.35">
      <c r="A122" s="12" t="s">
        <v>373</v>
      </c>
      <c r="B122" s="13" t="s">
        <v>301</v>
      </c>
      <c r="D122" s="12" t="s">
        <v>495</v>
      </c>
      <c r="E122" s="12" t="s">
        <v>113</v>
      </c>
      <c r="F122" s="4">
        <v>6</v>
      </c>
      <c r="G122" s="12" t="s">
        <v>113</v>
      </c>
      <c r="H122" s="3">
        <v>10.77</v>
      </c>
      <c r="I122" s="3">
        <v>20</v>
      </c>
      <c r="J122" s="12" t="s">
        <v>81</v>
      </c>
    </row>
    <row r="123" spans="1:10" x14ac:dyDescent="0.35">
      <c r="A123" s="12" t="s">
        <v>374</v>
      </c>
      <c r="B123" s="13" t="s">
        <v>301</v>
      </c>
      <c r="D123" s="12" t="s">
        <v>496</v>
      </c>
      <c r="E123" s="12" t="s">
        <v>113</v>
      </c>
      <c r="F123" s="4">
        <v>6</v>
      </c>
      <c r="G123" s="12" t="s">
        <v>113</v>
      </c>
      <c r="H123" s="3">
        <v>9.14</v>
      </c>
      <c r="I123" s="3">
        <v>20</v>
      </c>
      <c r="J123" s="12" t="s">
        <v>81</v>
      </c>
    </row>
    <row r="124" spans="1:10" x14ac:dyDescent="0.35">
      <c r="A124" s="12" t="s">
        <v>375</v>
      </c>
      <c r="B124" s="13" t="s">
        <v>267</v>
      </c>
      <c r="D124" s="12" t="s">
        <v>498</v>
      </c>
      <c r="E124" s="12" t="s">
        <v>113</v>
      </c>
      <c r="F124" s="4">
        <v>5</v>
      </c>
      <c r="G124" s="12" t="s">
        <v>113</v>
      </c>
      <c r="H124" s="3">
        <v>9.1300000000000008</v>
      </c>
      <c r="I124" s="3">
        <v>15</v>
      </c>
      <c r="J124" s="12" t="s">
        <v>81</v>
      </c>
    </row>
    <row r="125" spans="1:10" x14ac:dyDescent="0.35">
      <c r="A125" s="12" t="s">
        <v>376</v>
      </c>
      <c r="B125" s="13" t="s">
        <v>377</v>
      </c>
      <c r="D125" s="12" t="s">
        <v>497</v>
      </c>
      <c r="E125" s="12" t="s">
        <v>113</v>
      </c>
      <c r="F125" s="4">
        <v>12</v>
      </c>
      <c r="G125" s="12" t="s">
        <v>113</v>
      </c>
      <c r="H125" s="3">
        <v>8.76</v>
      </c>
      <c r="I125" s="3">
        <v>15</v>
      </c>
      <c r="J125" s="12" t="s">
        <v>81</v>
      </c>
    </row>
    <row r="126" spans="1:10" x14ac:dyDescent="0.35">
      <c r="A126" s="12" t="s">
        <v>563</v>
      </c>
      <c r="B126" s="13" t="s">
        <v>502</v>
      </c>
      <c r="D126" s="12" t="s">
        <v>539</v>
      </c>
      <c r="E126" s="12" t="s">
        <v>113</v>
      </c>
      <c r="F126" s="4">
        <v>160</v>
      </c>
      <c r="G126" s="12" t="s">
        <v>113</v>
      </c>
      <c r="H126" s="3">
        <v>3</v>
      </c>
      <c r="I126" s="3">
        <v>7</v>
      </c>
      <c r="J126" s="12" t="s">
        <v>81</v>
      </c>
    </row>
    <row r="127" spans="1:10" x14ac:dyDescent="0.35">
      <c r="A127" s="12" t="s">
        <v>564</v>
      </c>
      <c r="B127" s="13" t="s">
        <v>502</v>
      </c>
      <c r="D127" s="12" t="s">
        <v>539</v>
      </c>
      <c r="E127" s="12" t="s">
        <v>113</v>
      </c>
      <c r="F127" s="4">
        <v>160</v>
      </c>
      <c r="G127" s="12" t="s">
        <v>113</v>
      </c>
      <c r="H127" s="3">
        <v>3</v>
      </c>
      <c r="I127" s="3">
        <v>7</v>
      </c>
      <c r="J127" s="12" t="s">
        <v>81</v>
      </c>
    </row>
    <row r="128" spans="1:10" x14ac:dyDescent="0.35">
      <c r="A128" s="12" t="s">
        <v>565</v>
      </c>
      <c r="B128" s="13" t="s">
        <v>271</v>
      </c>
      <c r="D128" s="12" t="s">
        <v>540</v>
      </c>
      <c r="E128" s="12" t="s">
        <v>113</v>
      </c>
      <c r="F128" s="4">
        <v>24</v>
      </c>
      <c r="G128" s="12" t="s">
        <v>113</v>
      </c>
      <c r="H128" s="3">
        <v>5.3</v>
      </c>
      <c r="I128" s="3">
        <v>10</v>
      </c>
      <c r="J128" s="12" t="s">
        <v>81</v>
      </c>
    </row>
    <row r="129" spans="1:10" x14ac:dyDescent="0.35">
      <c r="A129" s="12" t="s">
        <v>566</v>
      </c>
      <c r="B129" s="13" t="s">
        <v>503</v>
      </c>
      <c r="D129" s="12" t="s">
        <v>541</v>
      </c>
      <c r="E129" s="12" t="s">
        <v>113</v>
      </c>
      <c r="F129" s="4">
        <v>24</v>
      </c>
      <c r="G129" s="12" t="s">
        <v>113</v>
      </c>
      <c r="H129" s="3">
        <v>5.3</v>
      </c>
      <c r="I129" s="3">
        <v>10</v>
      </c>
      <c r="J129" s="12" t="s">
        <v>81</v>
      </c>
    </row>
    <row r="130" spans="1:10" x14ac:dyDescent="0.35">
      <c r="A130" s="12" t="s">
        <v>567</v>
      </c>
      <c r="B130" s="13" t="s">
        <v>271</v>
      </c>
      <c r="D130" s="12" t="s">
        <v>542</v>
      </c>
      <c r="E130" s="12" t="s">
        <v>113</v>
      </c>
      <c r="F130" s="4">
        <v>24</v>
      </c>
      <c r="G130" s="12" t="s">
        <v>113</v>
      </c>
      <c r="H130" s="3">
        <v>5.3</v>
      </c>
      <c r="I130" s="3">
        <v>10</v>
      </c>
      <c r="J130" s="12" t="s">
        <v>81</v>
      </c>
    </row>
    <row r="131" spans="1:10" x14ac:dyDescent="0.35">
      <c r="A131" s="12" t="s">
        <v>568</v>
      </c>
      <c r="B131" s="13" t="s">
        <v>271</v>
      </c>
      <c r="D131" s="12" t="s">
        <v>543</v>
      </c>
      <c r="E131" s="12" t="s">
        <v>113</v>
      </c>
      <c r="F131" s="4">
        <v>24</v>
      </c>
      <c r="G131" s="12" t="s">
        <v>113</v>
      </c>
      <c r="H131" s="3">
        <v>5.3</v>
      </c>
      <c r="I131" s="3">
        <v>10</v>
      </c>
      <c r="J131" s="12" t="s">
        <v>81</v>
      </c>
    </row>
    <row r="132" spans="1:10" x14ac:dyDescent="0.35">
      <c r="A132" s="12" t="s">
        <v>569</v>
      </c>
      <c r="B132" s="13" t="s">
        <v>271</v>
      </c>
      <c r="D132" s="12" t="s">
        <v>544</v>
      </c>
      <c r="E132" s="12" t="s">
        <v>113</v>
      </c>
      <c r="F132" s="4">
        <v>24</v>
      </c>
      <c r="G132" s="12" t="s">
        <v>113</v>
      </c>
      <c r="H132" s="3">
        <v>5.3</v>
      </c>
      <c r="I132" s="3">
        <v>10</v>
      </c>
      <c r="J132" s="12" t="s">
        <v>81</v>
      </c>
    </row>
    <row r="133" spans="1:10" x14ac:dyDescent="0.35">
      <c r="A133" s="12" t="s">
        <v>570</v>
      </c>
      <c r="B133" s="13" t="s">
        <v>271</v>
      </c>
      <c r="D133" s="12" t="s">
        <v>545</v>
      </c>
      <c r="E133" s="12" t="s">
        <v>113</v>
      </c>
      <c r="F133" s="4">
        <v>24</v>
      </c>
      <c r="G133" s="12" t="s">
        <v>113</v>
      </c>
      <c r="H133" s="3">
        <v>5.3</v>
      </c>
      <c r="I133" s="3">
        <v>10</v>
      </c>
      <c r="J133" s="12" t="s">
        <v>81</v>
      </c>
    </row>
    <row r="134" spans="1:10" x14ac:dyDescent="0.35">
      <c r="A134" s="12" t="s">
        <v>571</v>
      </c>
      <c r="B134" s="13" t="s">
        <v>271</v>
      </c>
      <c r="D134" s="12" t="s">
        <v>548</v>
      </c>
      <c r="E134" s="12" t="s">
        <v>113</v>
      </c>
      <c r="F134" s="4">
        <v>24</v>
      </c>
      <c r="G134" s="12" t="s">
        <v>113</v>
      </c>
      <c r="H134" s="3">
        <v>5.3</v>
      </c>
      <c r="I134" s="3">
        <v>10</v>
      </c>
      <c r="J134" s="12" t="s">
        <v>81</v>
      </c>
    </row>
    <row r="135" spans="1:10" x14ac:dyDescent="0.35">
      <c r="A135" s="12" t="s">
        <v>572</v>
      </c>
      <c r="B135" s="13" t="s">
        <v>271</v>
      </c>
      <c r="D135" s="12" t="s">
        <v>549</v>
      </c>
      <c r="E135" s="12" t="s">
        <v>113</v>
      </c>
      <c r="F135" s="4">
        <v>24</v>
      </c>
      <c r="G135" s="12" t="s">
        <v>113</v>
      </c>
      <c r="H135" s="3">
        <v>5.3</v>
      </c>
      <c r="I135" s="3">
        <v>10</v>
      </c>
      <c r="J135" s="12" t="s">
        <v>81</v>
      </c>
    </row>
    <row r="136" spans="1:10" x14ac:dyDescent="0.35">
      <c r="A136" s="12" t="s">
        <v>573</v>
      </c>
      <c r="B136" s="13" t="s">
        <v>271</v>
      </c>
      <c r="D136" s="12" t="s">
        <v>551</v>
      </c>
      <c r="E136" s="12" t="s">
        <v>113</v>
      </c>
      <c r="F136" s="4">
        <v>24</v>
      </c>
      <c r="G136" s="12" t="s">
        <v>113</v>
      </c>
      <c r="H136" s="3">
        <v>5.3</v>
      </c>
      <c r="I136" s="3">
        <v>10</v>
      </c>
      <c r="J136" s="12" t="s">
        <v>81</v>
      </c>
    </row>
    <row r="137" spans="1:10" x14ac:dyDescent="0.35">
      <c r="A137" s="12" t="s">
        <v>574</v>
      </c>
      <c r="B137" s="13" t="s">
        <v>271</v>
      </c>
      <c r="D137" s="12" t="s">
        <v>550</v>
      </c>
      <c r="E137" s="12" t="s">
        <v>113</v>
      </c>
      <c r="F137" s="4">
        <v>24</v>
      </c>
      <c r="G137" s="12" t="s">
        <v>113</v>
      </c>
      <c r="H137" s="3">
        <v>5.3</v>
      </c>
      <c r="I137" s="3">
        <v>10</v>
      </c>
      <c r="J137" s="12" t="s">
        <v>81</v>
      </c>
    </row>
    <row r="138" spans="1:10" x14ac:dyDescent="0.35">
      <c r="A138" s="12" t="s">
        <v>575</v>
      </c>
      <c r="B138" s="13" t="s">
        <v>504</v>
      </c>
      <c r="D138" s="12" t="s">
        <v>522</v>
      </c>
      <c r="E138" s="12" t="s">
        <v>113</v>
      </c>
      <c r="F138" s="4">
        <v>12</v>
      </c>
      <c r="G138" s="12" t="s">
        <v>113</v>
      </c>
      <c r="H138" s="3">
        <v>11.72</v>
      </c>
      <c r="I138" s="3">
        <v>18</v>
      </c>
      <c r="J138" s="12" t="s">
        <v>81</v>
      </c>
    </row>
    <row r="139" spans="1:10" x14ac:dyDescent="0.35">
      <c r="A139" s="12" t="s">
        <v>576</v>
      </c>
      <c r="B139" s="13" t="s">
        <v>231</v>
      </c>
      <c r="D139" s="12" t="s">
        <v>411</v>
      </c>
      <c r="E139" s="12" t="s">
        <v>113</v>
      </c>
      <c r="F139" s="4">
        <v>48</v>
      </c>
      <c r="G139" s="12" t="s">
        <v>113</v>
      </c>
      <c r="H139" s="3">
        <v>4</v>
      </c>
      <c r="I139" s="3">
        <v>6</v>
      </c>
      <c r="J139" s="12" t="s">
        <v>81</v>
      </c>
    </row>
    <row r="140" spans="1:10" x14ac:dyDescent="0.35">
      <c r="A140" s="12" t="s">
        <v>578</v>
      </c>
      <c r="B140" s="13" t="s">
        <v>231</v>
      </c>
      <c r="D140" s="12" t="s">
        <v>525</v>
      </c>
      <c r="E140" s="12" t="s">
        <v>113</v>
      </c>
      <c r="F140" s="4">
        <v>48</v>
      </c>
      <c r="G140" s="12" t="s">
        <v>113</v>
      </c>
      <c r="H140" s="3">
        <v>6.3</v>
      </c>
      <c r="I140" s="3">
        <v>10</v>
      </c>
      <c r="J140" s="12" t="s">
        <v>81</v>
      </c>
    </row>
    <row r="141" spans="1:10" x14ac:dyDescent="0.35">
      <c r="A141" s="12" t="s">
        <v>579</v>
      </c>
      <c r="B141" s="13" t="s">
        <v>207</v>
      </c>
      <c r="D141" s="12" t="s">
        <v>577</v>
      </c>
      <c r="E141" s="12" t="s">
        <v>113</v>
      </c>
      <c r="F141" s="4">
        <v>24</v>
      </c>
      <c r="G141" s="12" t="s">
        <v>113</v>
      </c>
      <c r="H141" s="3">
        <v>7.9</v>
      </c>
      <c r="I141" s="3">
        <v>12</v>
      </c>
      <c r="J141" s="12" t="s">
        <v>81</v>
      </c>
    </row>
    <row r="142" spans="1:10" x14ac:dyDescent="0.35">
      <c r="A142" s="12" t="s">
        <v>580</v>
      </c>
      <c r="B142" s="13" t="s">
        <v>335</v>
      </c>
      <c r="D142" s="12" t="s">
        <v>528</v>
      </c>
      <c r="E142" s="12" t="s">
        <v>113</v>
      </c>
      <c r="F142" s="4">
        <v>24</v>
      </c>
      <c r="G142" s="12" t="s">
        <v>113</v>
      </c>
      <c r="H142" s="3">
        <v>5</v>
      </c>
      <c r="I142" s="3">
        <v>8</v>
      </c>
      <c r="J142" s="12" t="s">
        <v>81</v>
      </c>
    </row>
    <row r="143" spans="1:10" x14ac:dyDescent="0.35">
      <c r="A143" s="12" t="s">
        <v>581</v>
      </c>
      <c r="B143" s="13" t="s">
        <v>505</v>
      </c>
      <c r="D143" s="12" t="s">
        <v>527</v>
      </c>
      <c r="E143" s="12" t="s">
        <v>113</v>
      </c>
      <c r="F143" s="4">
        <v>60</v>
      </c>
      <c r="G143" s="12" t="s">
        <v>113</v>
      </c>
      <c r="H143" s="3">
        <v>3.8</v>
      </c>
      <c r="I143" s="3">
        <v>9</v>
      </c>
      <c r="J143" s="12" t="s">
        <v>81</v>
      </c>
    </row>
    <row r="144" spans="1:10" x14ac:dyDescent="0.35">
      <c r="A144" s="12" t="s">
        <v>582</v>
      </c>
      <c r="B144" s="13" t="s">
        <v>506</v>
      </c>
      <c r="D144" s="12" t="s">
        <v>529</v>
      </c>
      <c r="E144" s="12" t="s">
        <v>113</v>
      </c>
      <c r="F144" s="4">
        <v>160</v>
      </c>
      <c r="G144" s="12" t="s">
        <v>113</v>
      </c>
      <c r="H144" s="3">
        <v>0.5</v>
      </c>
      <c r="I144" s="3">
        <v>1</v>
      </c>
      <c r="J144" s="12" t="s">
        <v>81</v>
      </c>
    </row>
    <row r="145" spans="1:10" x14ac:dyDescent="0.35">
      <c r="A145" s="12" t="s">
        <v>583</v>
      </c>
      <c r="B145" s="13" t="s">
        <v>506</v>
      </c>
      <c r="D145" s="12" t="s">
        <v>530</v>
      </c>
      <c r="E145" s="12" t="s">
        <v>113</v>
      </c>
      <c r="F145" s="4">
        <v>160</v>
      </c>
      <c r="G145" s="12" t="s">
        <v>113</v>
      </c>
      <c r="H145" s="3">
        <v>0.5</v>
      </c>
      <c r="I145" s="3">
        <v>1</v>
      </c>
      <c r="J145" s="12" t="s">
        <v>81</v>
      </c>
    </row>
    <row r="146" spans="1:10" x14ac:dyDescent="0.35">
      <c r="A146" s="12" t="s">
        <v>584</v>
      </c>
      <c r="B146" s="13" t="s">
        <v>506</v>
      </c>
      <c r="D146" s="12" t="s">
        <v>531</v>
      </c>
      <c r="E146" s="12" t="s">
        <v>113</v>
      </c>
      <c r="F146" s="4">
        <v>160</v>
      </c>
      <c r="G146" s="12" t="s">
        <v>113</v>
      </c>
      <c r="H146" s="3">
        <v>0.5</v>
      </c>
      <c r="I146" s="3">
        <v>1</v>
      </c>
      <c r="J146" s="12" t="s">
        <v>81</v>
      </c>
    </row>
    <row r="147" spans="1:10" x14ac:dyDescent="0.35">
      <c r="A147" s="12" t="s">
        <v>585</v>
      </c>
      <c r="B147" s="13" t="s">
        <v>506</v>
      </c>
      <c r="D147" s="12" t="s">
        <v>618</v>
      </c>
      <c r="E147" s="12" t="s">
        <v>113</v>
      </c>
      <c r="F147" s="4">
        <v>160</v>
      </c>
      <c r="G147" s="12" t="s">
        <v>113</v>
      </c>
      <c r="H147" s="3">
        <v>0.5</v>
      </c>
      <c r="I147" s="3">
        <v>1</v>
      </c>
      <c r="J147" s="12" t="s">
        <v>81</v>
      </c>
    </row>
    <row r="148" spans="1:10" x14ac:dyDescent="0.35">
      <c r="A148" s="12" t="s">
        <v>615</v>
      </c>
      <c r="B148" s="13" t="s">
        <v>506</v>
      </c>
      <c r="D148" s="12" t="s">
        <v>617</v>
      </c>
      <c r="E148" s="12" t="s">
        <v>113</v>
      </c>
      <c r="F148" s="4">
        <v>160</v>
      </c>
      <c r="G148" s="12" t="s">
        <v>113</v>
      </c>
      <c r="H148" s="3">
        <v>0.5</v>
      </c>
      <c r="I148" s="3">
        <v>1</v>
      </c>
      <c r="J148" s="12" t="s">
        <v>81</v>
      </c>
    </row>
    <row r="149" spans="1:10" x14ac:dyDescent="0.35">
      <c r="A149" s="12" t="s">
        <v>614</v>
      </c>
      <c r="B149" s="13" t="s">
        <v>506</v>
      </c>
      <c r="D149" s="12" t="s">
        <v>616</v>
      </c>
      <c r="E149" s="12" t="s">
        <v>113</v>
      </c>
      <c r="F149" s="4">
        <v>160</v>
      </c>
      <c r="G149" s="12" t="s">
        <v>113</v>
      </c>
      <c r="H149" s="3">
        <v>0.5</v>
      </c>
      <c r="I149" s="3">
        <v>1</v>
      </c>
      <c r="J149" s="12" t="s">
        <v>81</v>
      </c>
    </row>
    <row r="150" spans="1:10" x14ac:dyDescent="0.35">
      <c r="A150" s="12" t="s">
        <v>613</v>
      </c>
      <c r="B150" s="13" t="s">
        <v>507</v>
      </c>
      <c r="D150" s="12" t="s">
        <v>462</v>
      </c>
      <c r="E150" s="12" t="s">
        <v>113</v>
      </c>
      <c r="F150" s="4">
        <v>48</v>
      </c>
      <c r="G150" s="12" t="s">
        <v>113</v>
      </c>
      <c r="H150" s="3">
        <v>6.3</v>
      </c>
      <c r="I150" s="3">
        <v>10</v>
      </c>
      <c r="J150" s="12" t="s">
        <v>81</v>
      </c>
    </row>
    <row r="151" spans="1:10" x14ac:dyDescent="0.35">
      <c r="A151" s="12" t="s">
        <v>612</v>
      </c>
      <c r="B151" s="13" t="s">
        <v>508</v>
      </c>
      <c r="D151" s="12" t="s">
        <v>536</v>
      </c>
      <c r="E151" s="12" t="s">
        <v>113</v>
      </c>
      <c r="F151" s="4">
        <v>24</v>
      </c>
      <c r="G151" s="12" t="s">
        <v>113</v>
      </c>
      <c r="H151" s="3">
        <v>7.9</v>
      </c>
      <c r="I151" s="3">
        <v>12</v>
      </c>
      <c r="J151" s="12" t="s">
        <v>81</v>
      </c>
    </row>
    <row r="152" spans="1:10" x14ac:dyDescent="0.35">
      <c r="A152" s="12" t="s">
        <v>611</v>
      </c>
      <c r="B152" s="13" t="s">
        <v>508</v>
      </c>
      <c r="D152" s="12" t="s">
        <v>537</v>
      </c>
      <c r="E152" s="12" t="s">
        <v>113</v>
      </c>
      <c r="F152" s="4">
        <v>36</v>
      </c>
      <c r="G152" s="12" t="s">
        <v>113</v>
      </c>
      <c r="H152" s="3">
        <v>9.1999999999999993</v>
      </c>
      <c r="I152" s="3">
        <v>15</v>
      </c>
      <c r="J152" s="12" t="s">
        <v>81</v>
      </c>
    </row>
    <row r="153" spans="1:10" x14ac:dyDescent="0.35">
      <c r="A153" s="12" t="s">
        <v>610</v>
      </c>
      <c r="B153" s="13" t="s">
        <v>508</v>
      </c>
      <c r="D153" s="12" t="s">
        <v>538</v>
      </c>
      <c r="E153" s="12" t="s">
        <v>113</v>
      </c>
      <c r="F153" s="4">
        <v>12</v>
      </c>
      <c r="G153" s="12" t="s">
        <v>113</v>
      </c>
      <c r="H153" s="3">
        <v>13.2</v>
      </c>
      <c r="I153" s="3">
        <v>17</v>
      </c>
      <c r="J153" s="12" t="s">
        <v>81</v>
      </c>
    </row>
    <row r="154" spans="1:10" x14ac:dyDescent="0.35">
      <c r="A154" s="12" t="s">
        <v>609</v>
      </c>
      <c r="B154" s="13" t="s">
        <v>271</v>
      </c>
      <c r="D154" s="12" t="s">
        <v>547</v>
      </c>
      <c r="E154" s="12" t="s">
        <v>113</v>
      </c>
      <c r="F154" s="4">
        <v>24</v>
      </c>
      <c r="G154" s="12" t="s">
        <v>113</v>
      </c>
      <c r="H154" s="3">
        <v>6.6</v>
      </c>
      <c r="I154" s="3">
        <v>10</v>
      </c>
      <c r="J154" s="12" t="s">
        <v>81</v>
      </c>
    </row>
    <row r="155" spans="1:10" x14ac:dyDescent="0.35">
      <c r="A155" s="12" t="s">
        <v>608</v>
      </c>
      <c r="B155" s="13" t="s">
        <v>271</v>
      </c>
      <c r="D155" s="12" t="s">
        <v>546</v>
      </c>
      <c r="E155" s="12" t="s">
        <v>113</v>
      </c>
      <c r="F155" s="4">
        <v>23</v>
      </c>
      <c r="G155" s="12" t="s">
        <v>113</v>
      </c>
      <c r="H155" s="3">
        <v>6.6</v>
      </c>
      <c r="I155" s="3">
        <v>10</v>
      </c>
      <c r="J155" s="12" t="s">
        <v>81</v>
      </c>
    </row>
    <row r="156" spans="1:10" x14ac:dyDescent="0.35">
      <c r="A156" s="12" t="s">
        <v>607</v>
      </c>
      <c r="B156" s="13" t="s">
        <v>271</v>
      </c>
      <c r="D156" s="12" t="s">
        <v>552</v>
      </c>
      <c r="E156" s="12" t="s">
        <v>113</v>
      </c>
      <c r="F156" s="4">
        <v>22</v>
      </c>
      <c r="G156" s="12" t="s">
        <v>113</v>
      </c>
      <c r="H156" s="3">
        <v>11.1</v>
      </c>
      <c r="I156" s="3">
        <v>17</v>
      </c>
      <c r="J156" s="12" t="s">
        <v>81</v>
      </c>
    </row>
    <row r="157" spans="1:10" x14ac:dyDescent="0.35">
      <c r="A157" s="12" t="s">
        <v>606</v>
      </c>
      <c r="B157" s="13" t="s">
        <v>271</v>
      </c>
      <c r="D157" s="12" t="s">
        <v>553</v>
      </c>
      <c r="E157" s="12" t="s">
        <v>113</v>
      </c>
      <c r="F157" s="4">
        <v>24</v>
      </c>
      <c r="G157" s="12" t="s">
        <v>113</v>
      </c>
      <c r="H157" s="3">
        <v>11.1</v>
      </c>
      <c r="I157" s="3">
        <v>17</v>
      </c>
      <c r="J157" s="12" t="s">
        <v>81</v>
      </c>
    </row>
    <row r="158" spans="1:10" x14ac:dyDescent="0.35">
      <c r="A158" s="12" t="s">
        <v>605</v>
      </c>
      <c r="B158" s="13" t="s">
        <v>509</v>
      </c>
      <c r="D158" s="12" t="s">
        <v>554</v>
      </c>
      <c r="E158" s="12" t="s">
        <v>113</v>
      </c>
      <c r="F158" s="4">
        <v>12</v>
      </c>
      <c r="G158" s="12" t="s">
        <v>113</v>
      </c>
      <c r="H158" s="3">
        <v>10.8</v>
      </c>
      <c r="I158" s="3">
        <v>15</v>
      </c>
      <c r="J158" s="12" t="s">
        <v>81</v>
      </c>
    </row>
    <row r="159" spans="1:10" x14ac:dyDescent="0.35">
      <c r="A159" s="12" t="s">
        <v>604</v>
      </c>
      <c r="B159" s="13" t="s">
        <v>352</v>
      </c>
      <c r="D159" s="12" t="s">
        <v>555</v>
      </c>
      <c r="E159" s="12" t="s">
        <v>113</v>
      </c>
      <c r="F159" s="4">
        <v>24</v>
      </c>
      <c r="G159" s="12" t="s">
        <v>113</v>
      </c>
      <c r="H159" s="3">
        <v>10.8</v>
      </c>
      <c r="I159" s="3">
        <v>15</v>
      </c>
      <c r="J159" s="12" t="s">
        <v>81</v>
      </c>
    </row>
    <row r="160" spans="1:10" x14ac:dyDescent="0.35">
      <c r="A160" s="12" t="s">
        <v>603</v>
      </c>
      <c r="B160" s="13" t="s">
        <v>510</v>
      </c>
      <c r="D160" s="12" t="s">
        <v>556</v>
      </c>
      <c r="E160" s="12" t="s">
        <v>113</v>
      </c>
      <c r="F160" s="4">
        <v>40</v>
      </c>
      <c r="G160" s="12" t="s">
        <v>113</v>
      </c>
      <c r="H160" s="3">
        <v>2.8</v>
      </c>
      <c r="I160" s="3">
        <v>8</v>
      </c>
      <c r="J160" s="12" t="s">
        <v>81</v>
      </c>
    </row>
    <row r="161" spans="1:10" x14ac:dyDescent="0.35">
      <c r="A161" s="12" t="s">
        <v>602</v>
      </c>
      <c r="B161" s="13" t="s">
        <v>352</v>
      </c>
      <c r="D161" s="12" t="s">
        <v>520</v>
      </c>
      <c r="E161" s="12" t="s">
        <v>113</v>
      </c>
      <c r="F161" s="4">
        <v>40</v>
      </c>
      <c r="G161" s="12" t="s">
        <v>113</v>
      </c>
      <c r="H161" s="3">
        <v>4.3</v>
      </c>
      <c r="I161" s="3">
        <v>10</v>
      </c>
      <c r="J161" s="12" t="s">
        <v>81</v>
      </c>
    </row>
    <row r="162" spans="1:10" x14ac:dyDescent="0.35">
      <c r="A162" s="12" t="s">
        <v>601</v>
      </c>
      <c r="B162" s="13" t="s">
        <v>352</v>
      </c>
      <c r="D162" s="12" t="s">
        <v>518</v>
      </c>
      <c r="E162" s="12" t="s">
        <v>113</v>
      </c>
      <c r="F162" s="4">
        <v>36</v>
      </c>
      <c r="G162" s="12" t="s">
        <v>113</v>
      </c>
      <c r="H162" s="3">
        <v>3.6</v>
      </c>
      <c r="I162" s="3">
        <v>9</v>
      </c>
      <c r="J162" s="12" t="s">
        <v>81</v>
      </c>
    </row>
    <row r="163" spans="1:10" x14ac:dyDescent="0.35">
      <c r="A163" s="12" t="s">
        <v>600</v>
      </c>
      <c r="B163" s="13" t="s">
        <v>352</v>
      </c>
      <c r="D163" s="12" t="s">
        <v>519</v>
      </c>
      <c r="E163" s="12" t="s">
        <v>113</v>
      </c>
      <c r="F163" s="4">
        <v>48</v>
      </c>
      <c r="G163" s="12" t="s">
        <v>113</v>
      </c>
      <c r="H163" s="3">
        <v>3.6</v>
      </c>
      <c r="I163" s="3">
        <v>6</v>
      </c>
      <c r="J163" s="12" t="s">
        <v>81</v>
      </c>
    </row>
    <row r="164" spans="1:10" x14ac:dyDescent="0.35">
      <c r="A164" s="12" t="s">
        <v>599</v>
      </c>
      <c r="B164" s="13" t="s">
        <v>352</v>
      </c>
      <c r="D164" s="12" t="s">
        <v>517</v>
      </c>
      <c r="E164" s="12" t="s">
        <v>113</v>
      </c>
      <c r="F164" s="4">
        <v>36</v>
      </c>
      <c r="G164" s="12" t="s">
        <v>113</v>
      </c>
      <c r="H164" s="3">
        <v>5.6</v>
      </c>
      <c r="I164" s="3">
        <v>12</v>
      </c>
      <c r="J164" s="12" t="s">
        <v>81</v>
      </c>
    </row>
    <row r="165" spans="1:10" x14ac:dyDescent="0.35">
      <c r="A165" s="12" t="s">
        <v>598</v>
      </c>
      <c r="B165" s="13" t="s">
        <v>511</v>
      </c>
      <c r="D165" s="12" t="s">
        <v>521</v>
      </c>
      <c r="E165" s="12" t="s">
        <v>113</v>
      </c>
      <c r="F165" s="4">
        <v>72</v>
      </c>
      <c r="G165" s="12" t="s">
        <v>113</v>
      </c>
      <c r="H165" s="3">
        <v>2.8</v>
      </c>
      <c r="I165" s="3">
        <v>8</v>
      </c>
      <c r="J165" s="12" t="s">
        <v>81</v>
      </c>
    </row>
    <row r="166" spans="1:10" x14ac:dyDescent="0.35">
      <c r="A166" s="12" t="s">
        <v>597</v>
      </c>
      <c r="B166" s="13" t="s">
        <v>512</v>
      </c>
      <c r="D166" s="12" t="s">
        <v>524</v>
      </c>
      <c r="E166" s="12" t="s">
        <v>113</v>
      </c>
      <c r="F166" s="4">
        <v>24</v>
      </c>
      <c r="G166" s="12" t="s">
        <v>113</v>
      </c>
      <c r="H166" s="3">
        <v>2.8</v>
      </c>
      <c r="I166" s="3">
        <v>8</v>
      </c>
      <c r="J166" s="12" t="s">
        <v>81</v>
      </c>
    </row>
    <row r="167" spans="1:10" x14ac:dyDescent="0.35">
      <c r="A167" s="12" t="s">
        <v>596</v>
      </c>
      <c r="B167" s="13" t="s">
        <v>512</v>
      </c>
      <c r="D167" s="12" t="s">
        <v>526</v>
      </c>
      <c r="E167" s="12" t="s">
        <v>113</v>
      </c>
      <c r="F167" s="4">
        <v>48</v>
      </c>
      <c r="G167" s="12" t="s">
        <v>113</v>
      </c>
      <c r="H167" s="3">
        <v>4</v>
      </c>
      <c r="I167" s="3">
        <v>10</v>
      </c>
      <c r="J167" s="12" t="s">
        <v>81</v>
      </c>
    </row>
    <row r="168" spans="1:10" x14ac:dyDescent="0.35">
      <c r="A168" s="12" t="s">
        <v>595</v>
      </c>
      <c r="B168" s="13" t="s">
        <v>207</v>
      </c>
      <c r="D168" s="12" t="s">
        <v>523</v>
      </c>
      <c r="E168" s="12" t="s">
        <v>113</v>
      </c>
      <c r="F168" s="4">
        <v>24</v>
      </c>
      <c r="G168" s="12" t="s">
        <v>113</v>
      </c>
      <c r="H168" s="3">
        <v>13.2</v>
      </c>
      <c r="I168" s="3">
        <v>20</v>
      </c>
      <c r="J168" s="12" t="s">
        <v>81</v>
      </c>
    </row>
    <row r="169" spans="1:10" x14ac:dyDescent="0.35">
      <c r="A169" s="12" t="s">
        <v>594</v>
      </c>
      <c r="B169" s="13" t="s">
        <v>513</v>
      </c>
      <c r="D169" s="12" t="s">
        <v>535</v>
      </c>
      <c r="E169" s="12" t="s">
        <v>113</v>
      </c>
      <c r="F169" s="4">
        <v>12</v>
      </c>
      <c r="G169" s="12" t="s">
        <v>113</v>
      </c>
      <c r="H169" s="3">
        <v>8.1999999999999993</v>
      </c>
      <c r="I169" s="3">
        <v>15</v>
      </c>
      <c r="J169" s="12" t="s">
        <v>81</v>
      </c>
    </row>
    <row r="170" spans="1:10" x14ac:dyDescent="0.35">
      <c r="A170" s="12" t="s">
        <v>593</v>
      </c>
      <c r="B170" s="13" t="s">
        <v>514</v>
      </c>
      <c r="D170" s="12" t="s">
        <v>561</v>
      </c>
      <c r="E170" s="12" t="s">
        <v>113</v>
      </c>
      <c r="F170" s="4">
        <v>24</v>
      </c>
      <c r="G170" s="12" t="s">
        <v>113</v>
      </c>
      <c r="H170" s="3">
        <v>8.1</v>
      </c>
      <c r="I170" s="3">
        <v>15</v>
      </c>
      <c r="J170" s="12" t="s">
        <v>81</v>
      </c>
    </row>
    <row r="171" spans="1:10" x14ac:dyDescent="0.35">
      <c r="A171" s="12" t="s">
        <v>592</v>
      </c>
      <c r="B171" s="13" t="s">
        <v>514</v>
      </c>
      <c r="D171" s="12" t="s">
        <v>559</v>
      </c>
      <c r="E171" s="12" t="s">
        <v>113</v>
      </c>
      <c r="F171" s="4">
        <v>24</v>
      </c>
      <c r="G171" s="12" t="s">
        <v>113</v>
      </c>
      <c r="H171" s="3">
        <v>8.1</v>
      </c>
      <c r="I171" s="3">
        <v>15</v>
      </c>
      <c r="J171" s="12" t="s">
        <v>81</v>
      </c>
    </row>
    <row r="172" spans="1:10" x14ac:dyDescent="0.35">
      <c r="A172" s="12" t="s">
        <v>591</v>
      </c>
      <c r="B172" s="13" t="s">
        <v>514</v>
      </c>
      <c r="D172" s="12" t="s">
        <v>558</v>
      </c>
      <c r="E172" s="12" t="s">
        <v>113</v>
      </c>
      <c r="F172" s="4">
        <v>24</v>
      </c>
      <c r="G172" s="12" t="s">
        <v>113</v>
      </c>
      <c r="H172" s="3">
        <v>8.1</v>
      </c>
      <c r="I172" s="3">
        <v>15</v>
      </c>
      <c r="J172" s="12" t="s">
        <v>81</v>
      </c>
    </row>
    <row r="173" spans="1:10" x14ac:dyDescent="0.35">
      <c r="A173" s="12" t="s">
        <v>590</v>
      </c>
      <c r="B173" s="13" t="s">
        <v>514</v>
      </c>
      <c r="D173" s="12" t="s">
        <v>557</v>
      </c>
      <c r="E173" s="12" t="s">
        <v>113</v>
      </c>
      <c r="F173" s="4">
        <v>24</v>
      </c>
      <c r="G173" s="12" t="s">
        <v>113</v>
      </c>
      <c r="H173" s="3">
        <v>8.1</v>
      </c>
      <c r="I173" s="3">
        <v>15</v>
      </c>
      <c r="J173" s="12" t="s">
        <v>81</v>
      </c>
    </row>
    <row r="174" spans="1:10" x14ac:dyDescent="0.35">
      <c r="A174" s="12" t="s">
        <v>589</v>
      </c>
      <c r="B174" s="13" t="s">
        <v>515</v>
      </c>
      <c r="D174" s="12" t="s">
        <v>560</v>
      </c>
      <c r="E174" s="12" t="s">
        <v>113</v>
      </c>
      <c r="F174" s="4">
        <v>17</v>
      </c>
      <c r="G174" s="12" t="s">
        <v>113</v>
      </c>
      <c r="H174" s="3">
        <v>9.9</v>
      </c>
      <c r="I174" s="3">
        <v>15</v>
      </c>
      <c r="J174" s="12" t="s">
        <v>81</v>
      </c>
    </row>
    <row r="175" spans="1:10" x14ac:dyDescent="0.35">
      <c r="A175" s="12" t="s">
        <v>588</v>
      </c>
      <c r="B175" s="13" t="s">
        <v>515</v>
      </c>
      <c r="D175" s="12" t="s">
        <v>562</v>
      </c>
      <c r="E175" s="12" t="s">
        <v>113</v>
      </c>
      <c r="F175" s="4">
        <v>9</v>
      </c>
      <c r="G175" s="12" t="s">
        <v>113</v>
      </c>
      <c r="H175" s="3">
        <v>9.9</v>
      </c>
      <c r="I175" s="3">
        <v>15</v>
      </c>
      <c r="J175" s="12" t="s">
        <v>81</v>
      </c>
    </row>
    <row r="176" spans="1:10" x14ac:dyDescent="0.35">
      <c r="A176" s="12" t="s">
        <v>587</v>
      </c>
      <c r="B176" s="13" t="s">
        <v>516</v>
      </c>
      <c r="D176" s="12" t="s">
        <v>534</v>
      </c>
      <c r="E176" s="12" t="s">
        <v>113</v>
      </c>
      <c r="F176" s="4">
        <v>72</v>
      </c>
      <c r="G176" s="12" t="s">
        <v>113</v>
      </c>
      <c r="H176" s="3">
        <v>2.8</v>
      </c>
      <c r="I176" s="3">
        <v>8</v>
      </c>
      <c r="J176" s="12" t="s">
        <v>81</v>
      </c>
    </row>
    <row r="177" spans="1:10" x14ac:dyDescent="0.35">
      <c r="A177" s="12" t="s">
        <v>586</v>
      </c>
      <c r="B177" s="13" t="s">
        <v>516</v>
      </c>
      <c r="D177" s="12" t="s">
        <v>533</v>
      </c>
      <c r="E177" s="12" t="s">
        <v>113</v>
      </c>
      <c r="F177" s="4">
        <v>72</v>
      </c>
      <c r="G177" s="12" t="s">
        <v>113</v>
      </c>
      <c r="H177" s="3">
        <v>3.9</v>
      </c>
      <c r="I177" s="3">
        <v>10</v>
      </c>
      <c r="J177" s="12" t="s">
        <v>81</v>
      </c>
    </row>
    <row r="178" spans="1:10" x14ac:dyDescent="0.35">
      <c r="A178" s="12" t="s">
        <v>619</v>
      </c>
      <c r="B178" s="13" t="s">
        <v>267</v>
      </c>
      <c r="D178" s="12" t="s">
        <v>642</v>
      </c>
      <c r="E178" s="12" t="s">
        <v>113</v>
      </c>
      <c r="F178" s="4">
        <v>60</v>
      </c>
      <c r="G178" s="12" t="s">
        <v>113</v>
      </c>
      <c r="H178" s="3">
        <v>1.5</v>
      </c>
      <c r="I178" s="3">
        <v>3</v>
      </c>
      <c r="J178" s="12" t="s">
        <v>81</v>
      </c>
    </row>
    <row r="179" spans="1:10" x14ac:dyDescent="0.35">
      <c r="A179" s="12" t="s">
        <v>620</v>
      </c>
      <c r="B179" s="13" t="s">
        <v>267</v>
      </c>
      <c r="D179" s="12" t="s">
        <v>643</v>
      </c>
      <c r="E179" s="12" t="s">
        <v>113</v>
      </c>
      <c r="F179" s="4">
        <v>60</v>
      </c>
      <c r="G179" s="12" t="s">
        <v>113</v>
      </c>
      <c r="H179" s="3">
        <v>1.5</v>
      </c>
      <c r="I179" s="3">
        <v>4</v>
      </c>
      <c r="J179" s="12" t="s">
        <v>81</v>
      </c>
    </row>
    <row r="180" spans="1:10" x14ac:dyDescent="0.35">
      <c r="A180" s="12" t="s">
        <v>621</v>
      </c>
      <c r="B180" s="13" t="s">
        <v>267</v>
      </c>
      <c r="D180" s="12" t="s">
        <v>644</v>
      </c>
      <c r="E180" s="12" t="s">
        <v>113</v>
      </c>
      <c r="F180" s="4">
        <v>60</v>
      </c>
      <c r="G180" s="12" t="s">
        <v>113</v>
      </c>
      <c r="H180" s="3">
        <v>1.9</v>
      </c>
      <c r="I180" s="3">
        <v>6</v>
      </c>
      <c r="J180" s="12" t="s">
        <v>81</v>
      </c>
    </row>
    <row r="181" spans="1:10" x14ac:dyDescent="0.35">
      <c r="A181" s="12" t="s">
        <v>622</v>
      </c>
      <c r="B181" s="13" t="s">
        <v>267</v>
      </c>
      <c r="D181" s="12" t="s">
        <v>645</v>
      </c>
      <c r="E181" s="12" t="s">
        <v>113</v>
      </c>
      <c r="F181" s="4">
        <v>46</v>
      </c>
      <c r="G181" s="12" t="s">
        <v>113</v>
      </c>
      <c r="H181" s="3">
        <v>6</v>
      </c>
      <c r="I181" s="3">
        <v>10</v>
      </c>
      <c r="J181" s="12" t="s">
        <v>81</v>
      </c>
    </row>
    <row r="182" spans="1:10" x14ac:dyDescent="0.35">
      <c r="A182" s="12" t="s">
        <v>623</v>
      </c>
      <c r="B182" s="13" t="s">
        <v>267</v>
      </c>
      <c r="D182" s="12" t="s">
        <v>646</v>
      </c>
      <c r="E182" s="12" t="s">
        <v>113</v>
      </c>
      <c r="F182" s="4">
        <v>47</v>
      </c>
      <c r="G182" s="12" t="s">
        <v>113</v>
      </c>
      <c r="H182" s="3">
        <v>6</v>
      </c>
      <c r="I182" s="3">
        <v>10</v>
      </c>
      <c r="J182" s="12" t="s">
        <v>81</v>
      </c>
    </row>
    <row r="183" spans="1:10" x14ac:dyDescent="0.35">
      <c r="A183" s="12" t="s">
        <v>624</v>
      </c>
      <c r="B183" s="13" t="s">
        <v>350</v>
      </c>
      <c r="D183" s="12" t="s">
        <v>647</v>
      </c>
      <c r="E183" s="12" t="s">
        <v>113</v>
      </c>
      <c r="F183" s="4">
        <v>12</v>
      </c>
      <c r="G183" s="12" t="s">
        <v>113</v>
      </c>
      <c r="H183" s="3">
        <v>42.9</v>
      </c>
      <c r="I183" s="3">
        <v>65</v>
      </c>
      <c r="J183" s="12" t="s">
        <v>81</v>
      </c>
    </row>
    <row r="184" spans="1:10" x14ac:dyDescent="0.35">
      <c r="A184" s="12" t="s">
        <v>625</v>
      </c>
      <c r="B184" s="13" t="s">
        <v>350</v>
      </c>
      <c r="D184" s="12" t="s">
        <v>648</v>
      </c>
      <c r="E184" s="12" t="s">
        <v>113</v>
      </c>
      <c r="F184" s="4">
        <v>24</v>
      </c>
      <c r="G184" s="12" t="s">
        <v>113</v>
      </c>
      <c r="H184" s="3">
        <v>6.2</v>
      </c>
      <c r="I184" s="3">
        <v>10</v>
      </c>
      <c r="J184" s="12" t="s">
        <v>81</v>
      </c>
    </row>
    <row r="185" spans="1:10" x14ac:dyDescent="0.35">
      <c r="A185" s="12" t="s">
        <v>626</v>
      </c>
      <c r="B185" s="13" t="s">
        <v>350</v>
      </c>
      <c r="D185" s="12" t="s">
        <v>649</v>
      </c>
      <c r="E185" s="12" t="s">
        <v>113</v>
      </c>
      <c r="F185" s="4">
        <v>12</v>
      </c>
      <c r="G185" s="12" t="s">
        <v>113</v>
      </c>
      <c r="H185" s="3">
        <v>9.1</v>
      </c>
      <c r="I185" s="3">
        <v>15</v>
      </c>
      <c r="J185" s="12" t="s">
        <v>81</v>
      </c>
    </row>
    <row r="186" spans="1:10" x14ac:dyDescent="0.35">
      <c r="A186" s="12" t="s">
        <v>627</v>
      </c>
      <c r="B186" s="13" t="s">
        <v>350</v>
      </c>
      <c r="D186" s="12" t="s">
        <v>650</v>
      </c>
      <c r="E186" s="12" t="s">
        <v>113</v>
      </c>
      <c r="F186" s="4">
        <v>24</v>
      </c>
      <c r="G186" s="12" t="s">
        <v>113</v>
      </c>
      <c r="H186" s="3">
        <v>6</v>
      </c>
      <c r="I186" s="3">
        <v>10</v>
      </c>
      <c r="J186" s="12" t="s">
        <v>81</v>
      </c>
    </row>
    <row r="187" spans="1:10" x14ac:dyDescent="0.35">
      <c r="A187" s="12" t="s">
        <v>628</v>
      </c>
      <c r="B187" s="13" t="s">
        <v>350</v>
      </c>
      <c r="D187" s="12" t="s">
        <v>651</v>
      </c>
      <c r="E187" s="12" t="s">
        <v>113</v>
      </c>
      <c r="F187" s="4">
        <v>12</v>
      </c>
      <c r="G187" s="12" t="s">
        <v>113</v>
      </c>
      <c r="H187" s="3">
        <v>8.4</v>
      </c>
      <c r="I187" s="3">
        <v>13</v>
      </c>
      <c r="J187" s="12" t="s">
        <v>81</v>
      </c>
    </row>
    <row r="188" spans="1:10" x14ac:dyDescent="0.35">
      <c r="A188" s="12" t="s">
        <v>629</v>
      </c>
      <c r="B188" s="13" t="s">
        <v>630</v>
      </c>
      <c r="D188" s="12" t="s">
        <v>652</v>
      </c>
      <c r="E188" s="12" t="s">
        <v>113</v>
      </c>
      <c r="F188" s="4">
        <v>24</v>
      </c>
      <c r="G188" s="12" t="s">
        <v>113</v>
      </c>
      <c r="H188" s="3">
        <v>10.199999999999999</v>
      </c>
      <c r="I188" s="3">
        <v>17</v>
      </c>
      <c r="J188" s="12" t="s">
        <v>81</v>
      </c>
    </row>
    <row r="189" spans="1:10" x14ac:dyDescent="0.35">
      <c r="A189" s="12" t="s">
        <v>631</v>
      </c>
      <c r="B189" s="13" t="s">
        <v>630</v>
      </c>
      <c r="D189" s="12" t="s">
        <v>653</v>
      </c>
      <c r="E189" s="12" t="s">
        <v>113</v>
      </c>
      <c r="F189" s="4">
        <v>24</v>
      </c>
      <c r="G189" s="12" t="s">
        <v>113</v>
      </c>
      <c r="H189" s="3">
        <v>10.199999999999999</v>
      </c>
      <c r="I189" s="3">
        <v>17</v>
      </c>
      <c r="J189" s="12" t="s">
        <v>81</v>
      </c>
    </row>
    <row r="190" spans="1:10" x14ac:dyDescent="0.35">
      <c r="A190" s="12" t="s">
        <v>632</v>
      </c>
      <c r="B190" s="13" t="s">
        <v>630</v>
      </c>
      <c r="D190" s="12" t="s">
        <v>654</v>
      </c>
      <c r="E190" s="12" t="s">
        <v>113</v>
      </c>
      <c r="F190" s="4">
        <v>24</v>
      </c>
      <c r="G190" s="12" t="s">
        <v>113</v>
      </c>
      <c r="H190" s="3">
        <v>10.199999999999999</v>
      </c>
      <c r="I190" s="3">
        <v>17</v>
      </c>
      <c r="J190" s="12" t="s">
        <v>81</v>
      </c>
    </row>
    <row r="191" spans="1:10" x14ac:dyDescent="0.35">
      <c r="A191" s="12" t="s">
        <v>633</v>
      </c>
      <c r="B191" s="13" t="s">
        <v>630</v>
      </c>
      <c r="D191" s="12" t="s">
        <v>655</v>
      </c>
      <c r="E191" s="12" t="s">
        <v>113</v>
      </c>
      <c r="F191" s="4">
        <v>24</v>
      </c>
      <c r="G191" s="12" t="s">
        <v>113</v>
      </c>
      <c r="H191" s="3">
        <v>10.199999999999999</v>
      </c>
      <c r="I191" s="3">
        <v>17</v>
      </c>
      <c r="J191" s="12" t="s">
        <v>81</v>
      </c>
    </row>
    <row r="192" spans="1:10" x14ac:dyDescent="0.35">
      <c r="A192" s="12" t="s">
        <v>634</v>
      </c>
      <c r="B192" s="13" t="s">
        <v>630</v>
      </c>
      <c r="D192" s="12" t="s">
        <v>656</v>
      </c>
      <c r="E192" s="12" t="s">
        <v>113</v>
      </c>
      <c r="F192" s="4">
        <v>24</v>
      </c>
      <c r="G192" s="12" t="s">
        <v>113</v>
      </c>
      <c r="H192" s="3">
        <v>10.199999999999999</v>
      </c>
      <c r="I192" s="3">
        <v>17</v>
      </c>
      <c r="J192" s="12" t="s">
        <v>81</v>
      </c>
    </row>
    <row r="193" spans="1:10" x14ac:dyDescent="0.35">
      <c r="A193" s="12" t="s">
        <v>635</v>
      </c>
      <c r="B193" s="13" t="s">
        <v>630</v>
      </c>
      <c r="D193" s="12" t="s">
        <v>657</v>
      </c>
      <c r="E193" s="12" t="s">
        <v>113</v>
      </c>
      <c r="F193" s="4">
        <v>24</v>
      </c>
      <c r="G193" s="12" t="s">
        <v>113</v>
      </c>
      <c r="H193" s="3">
        <v>11</v>
      </c>
      <c r="I193" s="3">
        <v>19</v>
      </c>
      <c r="J193" s="12" t="s">
        <v>81</v>
      </c>
    </row>
    <row r="194" spans="1:10" x14ac:dyDescent="0.35">
      <c r="A194" s="12" t="s">
        <v>636</v>
      </c>
      <c r="B194" s="13" t="s">
        <v>630</v>
      </c>
      <c r="D194" s="12" t="s">
        <v>658</v>
      </c>
      <c r="E194" s="12" t="s">
        <v>113</v>
      </c>
      <c r="F194" s="4">
        <v>24</v>
      </c>
      <c r="G194" s="12" t="s">
        <v>113</v>
      </c>
      <c r="H194" s="3">
        <v>11</v>
      </c>
      <c r="I194" s="3">
        <v>19</v>
      </c>
      <c r="J194" s="12" t="s">
        <v>81</v>
      </c>
    </row>
    <row r="195" spans="1:10" x14ac:dyDescent="0.35">
      <c r="A195" s="12" t="s">
        <v>637</v>
      </c>
      <c r="B195" s="13" t="s">
        <v>630</v>
      </c>
      <c r="D195" s="12" t="s">
        <v>659</v>
      </c>
      <c r="E195" s="12" t="s">
        <v>113</v>
      </c>
      <c r="F195" s="4">
        <v>24</v>
      </c>
      <c r="G195" s="12" t="s">
        <v>113</v>
      </c>
      <c r="H195" s="3">
        <v>11</v>
      </c>
      <c r="I195" s="3">
        <v>19</v>
      </c>
      <c r="J195" s="12" t="s">
        <v>81</v>
      </c>
    </row>
    <row r="196" spans="1:10" x14ac:dyDescent="0.35">
      <c r="A196" s="12" t="s">
        <v>638</v>
      </c>
      <c r="B196" s="13" t="s">
        <v>630</v>
      </c>
      <c r="D196" s="12" t="s">
        <v>660</v>
      </c>
      <c r="E196" s="12" t="s">
        <v>113</v>
      </c>
      <c r="F196" s="4">
        <v>24</v>
      </c>
      <c r="G196" s="12" t="s">
        <v>113</v>
      </c>
      <c r="H196" s="3">
        <v>11</v>
      </c>
      <c r="I196" s="3">
        <v>19</v>
      </c>
      <c r="J196" s="12" t="s">
        <v>81</v>
      </c>
    </row>
    <row r="197" spans="1:10" x14ac:dyDescent="0.35">
      <c r="A197" s="12" t="s">
        <v>639</v>
      </c>
      <c r="B197" s="13" t="s">
        <v>640</v>
      </c>
      <c r="D197" s="12" t="s">
        <v>661</v>
      </c>
      <c r="E197" s="12" t="s">
        <v>113</v>
      </c>
      <c r="F197" s="4">
        <v>12</v>
      </c>
      <c r="G197" s="12" t="s">
        <v>113</v>
      </c>
      <c r="H197" s="3">
        <v>21.8</v>
      </c>
      <c r="I197" s="3">
        <v>32</v>
      </c>
      <c r="J197" s="12" t="s">
        <v>81</v>
      </c>
    </row>
    <row r="198" spans="1:10" x14ac:dyDescent="0.35">
      <c r="A198" s="12" t="s">
        <v>641</v>
      </c>
      <c r="B198" s="13" t="s">
        <v>247</v>
      </c>
      <c r="D198" s="12" t="s">
        <v>662</v>
      </c>
      <c r="E198" s="12" t="s">
        <v>113</v>
      </c>
      <c r="F198" s="4">
        <v>8</v>
      </c>
      <c r="G198" s="12" t="s">
        <v>113</v>
      </c>
      <c r="H198" s="3">
        <v>9.6</v>
      </c>
      <c r="I198" s="3">
        <v>15</v>
      </c>
      <c r="J198" s="12" t="s">
        <v>81</v>
      </c>
    </row>
    <row r="199" spans="1:10" x14ac:dyDescent="0.35">
      <c r="A199" s="12" t="s">
        <v>348</v>
      </c>
      <c r="B199" s="13" t="s">
        <v>663</v>
      </c>
      <c r="D199" s="12" t="s">
        <v>664</v>
      </c>
      <c r="E199" s="12" t="s">
        <v>113</v>
      </c>
      <c r="F199" s="4">
        <v>12</v>
      </c>
      <c r="G199" s="12" t="s">
        <v>113</v>
      </c>
      <c r="H199" s="3">
        <v>6.79</v>
      </c>
      <c r="I199" s="3">
        <v>10</v>
      </c>
      <c r="J199" s="12" t="s">
        <v>81</v>
      </c>
    </row>
  </sheetData>
  <autoFilter ref="A1:Q199" xr:uid="{00000000-0009-0000-0000-000000000000}"/>
  <phoneticPr fontId="6" type="noConversion"/>
  <dataValidations count="9">
    <dataValidation type="decimal" errorStyle="warning" operator="greaterThanOrEqual" allowBlank="1" showInputMessage="1" showErrorMessage="1" errorTitle="قيمة سالبة" error="القيمة الوحدوية المعتادة ≥ 0 — أكمل إن قصدت ذلك." promptTitle="قيمة وحدوية" prompt="بالعملة المختارة — تكلفة الوحدة تُحتسب بها قيمة القيد الافتتاحي." sqref="I82 H2:I81 H83:I4977" xr:uid="{00000000-0002-0000-0000-000004000000}">
      <formula1>0</formula1>
    </dataValidation>
    <dataValidation type="list" errorStyle="warning" allowBlank="1" showInputMessage="1" showErrorMessage="1" errorTitle="وحدة غير مألوفة" error="ليست ضمن الوحدات الافتراضية — يمكن المتابعة إن كانت وحدتك معرّفة في النظام." promptTitle="وحدة التخزين" prompt="رمز أو اسم وحدة معرّفة في شاشة وحدات القياس (مثل U-01 = حبة)." sqref="E2:E4977" xr:uid="{00000000-0002-0000-0000-000000000000}">
      <formula1>"U-01,U-02,U-03,حبة,كرتون,كيس"</formula1>
    </dataValidation>
    <dataValidation type="list" errorStyle="warning" allowBlank="1" showInputMessage="1" showErrorMessage="1" errorTitle="وحدة غير مألوفة" error="ليست ضمن الوحدات الافتراضية — يمكن المتابعة إن كانت وحدتك معرّفة في النظام." promptTitle="وحدة الكمية" prompt="وحدة إدخال رقم الكمية (مثل U-02 = كرتون) — اتركها فارغة إن كانت = وحدة التخزين." sqref="G2:G4977" xr:uid="{00000000-0002-0000-0000-000001000000}">
      <formula1>"U-01,U-02,U-03,حبة,كرتون,كيس"</formula1>
    </dataValidation>
    <dataValidation type="list" allowBlank="1" showInputMessage="1" showErrorMessage="1" errorTitle="عملة غير مدعومة" error="اختر إحدى العملات: SAR، YER، USD، AED، EGP، JOD، KWD، QAR، BHD، OMR، GBP، EUR" promptTitle="العملة" prompt="اختر من الـ12 عملة مدعومة — unitCost و unitPrice بالعملة المختارة." sqref="J2:J4977" xr:uid="{00000000-0002-0000-0000-000002000000}">
      <formula1>"SAR,YER,USD,AED,EGP,JOD,KWD,QAR,BHD,OMR,GBP,EUR"</formula1>
    </dataValidation>
    <dataValidation type="decimal" operator="greaterThanOrEqual" allowBlank="1" showInputMessage="1" showErrorMessage="1" errorTitle="كمية غير صالحة" error="أدخل رقمًا لا يقل عن صفر." promptTitle="الكمية" prompt="رقم ≥ 0 بوحدة qtyUom — يلزم أن يتحول لعدد صحيح بوحدة التخزين uom." sqref="F2:F4977" xr:uid="{00000000-0002-0000-0000-000003000000}">
      <formula1>0</formula1>
    </dataValidation>
    <dataValidation type="date" allowBlank="1" showInputMessage="1" showErrorMessage="1" errorTitle="تاريخ غير صالح" error="أدخل تاريخًا بين 2000-01-01 و 2100-12-31." promptTitle="تاريخ الانتهاء" prompt="الصيغة المطلوبة YYYY-MM-DD (انسخ النص كما هو من ورقة الأمثلة)." sqref="L2:L4977" xr:uid="{00000000-0002-0000-0000-000005000000}">
      <formula1>DATE(2000,1,1)</formula1>
      <formula2>DATE(2100,12,31)</formula2>
    </dataValidation>
    <dataValidation type="whole" errorStyle="warning" operator="greaterThanOrEqual" allowBlank="1" showInputMessage="1" showErrorMessage="1" errorTitle="قيمة غير صالحة" error="أدخل عددًا صحيحًا لا يقل عن صفر." promptTitle="الحد الأدنى" prompt="عدد صحيح: حد إعادة الطلب للصنف." sqref="M2:M4977" xr:uid="{00000000-0002-0000-0000-000006000000}">
      <formula1>0</formula1>
    </dataValidation>
    <dataValidation type="list" errorStyle="warning" allowBlank="1" showInputMessage="1" showErrorMessage="1" errorTitle="قيمة غير معروفة" error="استخدم نعم أو لا." promptTitle="سلسلة تبريد" prompt="نعم = صنف مبرّد/مجمّد يتطلب متابعة حرارة وصلاحية." sqref="N2:N4977" xr:uid="{00000000-0002-0000-0000-000007000000}">
      <formula1>"نعم,لا,yes,no,true,false,1,0"</formula1>
    </dataValidation>
    <dataValidation type="list" errorStyle="warning" allowBlank="1" showInputMessage="1" showErrorMessage="1" errorTitle="مستودع غير مألوف" error="ليس ضمن المستودعات الشائعة — النظام يتحقق من وجوده فعليًا في المعاينة." promptTitle="المستودع" prompt="كود مستودع معرّف في النظام — اتركه فارغًا للافتراضي W-01." sqref="O2:O4977" xr:uid="{00000000-0002-0000-0000-000008000000}">
      <formula1>"W-01,W-02,W-03,W-04,W-05"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rightToLeft="1" workbookViewId="0"/>
  </sheetViews>
  <sheetFormatPr defaultRowHeight="14.5" x14ac:dyDescent="0.35"/>
  <cols>
    <col min="1" max="1" width="28" customWidth="1"/>
    <col min="2" max="2" width="78" customWidth="1"/>
    <col min="3" max="3" width="18" customWidth="1"/>
    <col min="4" max="4" width="24" customWidth="1"/>
    <col min="5" max="5" width="30" customWidth="1"/>
    <col min="6" max="6" width="62" customWidth="1"/>
  </cols>
  <sheetData>
    <row r="1" spans="1:6" ht="30" customHeight="1" x14ac:dyDescent="0.35">
      <c r="A1" s="6" t="s">
        <v>17</v>
      </c>
    </row>
    <row r="2" spans="1:6" ht="52" x14ac:dyDescent="0.35">
      <c r="A2" s="11" t="s">
        <v>18</v>
      </c>
    </row>
    <row r="4" spans="1:6" ht="24" customHeight="1" x14ac:dyDescent="0.35">
      <c r="A4" s="7" t="s">
        <v>19</v>
      </c>
    </row>
    <row r="5" spans="1:6" ht="29" x14ac:dyDescent="0.35">
      <c r="A5" s="7" t="s">
        <v>20</v>
      </c>
      <c r="B5" s="8" t="s">
        <v>21</v>
      </c>
    </row>
    <row r="6" spans="1:6" ht="29" x14ac:dyDescent="0.35">
      <c r="A6" s="7" t="s">
        <v>22</v>
      </c>
      <c r="B6" s="8" t="s">
        <v>23</v>
      </c>
    </row>
    <row r="7" spans="1:6" ht="29" x14ac:dyDescent="0.35">
      <c r="A7" s="7" t="s">
        <v>24</v>
      </c>
      <c r="B7" s="8" t="s">
        <v>25</v>
      </c>
    </row>
    <row r="8" spans="1:6" ht="29" x14ac:dyDescent="0.35">
      <c r="A8" s="7" t="s">
        <v>26</v>
      </c>
      <c r="B8" s="8" t="s">
        <v>27</v>
      </c>
    </row>
    <row r="9" spans="1:6" ht="29" x14ac:dyDescent="0.35">
      <c r="A9" s="7" t="s">
        <v>28</v>
      </c>
      <c r="B9" s="8" t="s">
        <v>29</v>
      </c>
    </row>
    <row r="10" spans="1:6" ht="29" x14ac:dyDescent="0.35">
      <c r="A10" s="7" t="s">
        <v>30</v>
      </c>
      <c r="B10" s="8" t="s">
        <v>31</v>
      </c>
    </row>
    <row r="11" spans="1:6" ht="29" x14ac:dyDescent="0.35">
      <c r="A11" s="7" t="s">
        <v>32</v>
      </c>
      <c r="B11" s="8" t="s">
        <v>33</v>
      </c>
    </row>
    <row r="12" spans="1:6" ht="29" x14ac:dyDescent="0.35">
      <c r="A12" s="7" t="s">
        <v>34</v>
      </c>
      <c r="B12" s="8" t="s">
        <v>35</v>
      </c>
    </row>
    <row r="13" spans="1:6" ht="29" x14ac:dyDescent="0.35">
      <c r="A13" s="7" t="s">
        <v>36</v>
      </c>
      <c r="B13" s="8" t="s">
        <v>37</v>
      </c>
    </row>
    <row r="15" spans="1:6" ht="24" customHeight="1" x14ac:dyDescent="0.35">
      <c r="A15" s="7" t="s">
        <v>38</v>
      </c>
    </row>
    <row r="16" spans="1:6" x14ac:dyDescent="0.35">
      <c r="A16" s="9" t="s">
        <v>39</v>
      </c>
      <c r="B16" s="9" t="s">
        <v>40</v>
      </c>
      <c r="C16" s="9" t="s">
        <v>41</v>
      </c>
      <c r="D16" s="9" t="s">
        <v>42</v>
      </c>
      <c r="E16" s="9" t="s">
        <v>43</v>
      </c>
      <c r="F16" s="9" t="s">
        <v>44</v>
      </c>
    </row>
    <row r="17" spans="1:6" x14ac:dyDescent="0.35">
      <c r="A17" s="10" t="s">
        <v>0</v>
      </c>
      <c r="B17" s="10" t="s">
        <v>45</v>
      </c>
      <c r="C17" s="10" t="s">
        <v>46</v>
      </c>
      <c r="D17" s="10" t="s">
        <v>47</v>
      </c>
      <c r="E17" s="10" t="s">
        <v>48</v>
      </c>
      <c r="F17" s="10" t="s">
        <v>49</v>
      </c>
    </row>
    <row r="18" spans="1:6" x14ac:dyDescent="0.35">
      <c r="A18" s="10" t="s">
        <v>1</v>
      </c>
      <c r="B18" s="10" t="s">
        <v>50</v>
      </c>
      <c r="C18" s="10" t="s">
        <v>46</v>
      </c>
      <c r="D18" s="10" t="s">
        <v>51</v>
      </c>
      <c r="E18" s="10" t="s">
        <v>52</v>
      </c>
      <c r="F18" s="10" t="s">
        <v>53</v>
      </c>
    </row>
    <row r="19" spans="1:6" x14ac:dyDescent="0.35">
      <c r="A19" s="10" t="s">
        <v>2</v>
      </c>
      <c r="B19" s="10" t="s">
        <v>54</v>
      </c>
      <c r="C19" s="10" t="s">
        <v>55</v>
      </c>
      <c r="D19" s="10" t="s">
        <v>51</v>
      </c>
      <c r="E19" s="10" t="s">
        <v>56</v>
      </c>
      <c r="F19" s="10" t="s">
        <v>57</v>
      </c>
    </row>
    <row r="20" spans="1:6" x14ac:dyDescent="0.35">
      <c r="A20" s="10" t="s">
        <v>3</v>
      </c>
      <c r="B20" s="10" t="s">
        <v>58</v>
      </c>
      <c r="C20" s="10" t="s">
        <v>55</v>
      </c>
      <c r="D20" s="10" t="s">
        <v>51</v>
      </c>
      <c r="E20" s="10" t="s">
        <v>59</v>
      </c>
      <c r="F20" s="10" t="s">
        <v>60</v>
      </c>
    </row>
    <row r="21" spans="1:6" x14ac:dyDescent="0.35">
      <c r="A21" s="10" t="s">
        <v>4</v>
      </c>
      <c r="B21" s="10" t="s">
        <v>61</v>
      </c>
      <c r="C21" s="10" t="s">
        <v>46</v>
      </c>
      <c r="D21" s="10" t="s">
        <v>62</v>
      </c>
      <c r="E21" s="10" t="s">
        <v>63</v>
      </c>
      <c r="F21" s="10" t="s">
        <v>64</v>
      </c>
    </row>
    <row r="22" spans="1:6" x14ac:dyDescent="0.35">
      <c r="A22" s="10" t="s">
        <v>5</v>
      </c>
      <c r="B22" s="10" t="s">
        <v>65</v>
      </c>
      <c r="C22" s="10" t="s">
        <v>46</v>
      </c>
      <c r="D22" s="10" t="s">
        <v>66</v>
      </c>
      <c r="E22" s="10" t="s">
        <v>67</v>
      </c>
      <c r="F22" s="10" t="s">
        <v>68</v>
      </c>
    </row>
    <row r="23" spans="1:6" x14ac:dyDescent="0.35">
      <c r="A23" s="10" t="s">
        <v>6</v>
      </c>
      <c r="B23" s="10" t="s">
        <v>69</v>
      </c>
      <c r="C23" s="10" t="s">
        <v>55</v>
      </c>
      <c r="D23" s="10" t="s">
        <v>62</v>
      </c>
      <c r="E23" s="10" t="s">
        <v>70</v>
      </c>
      <c r="F23" s="10" t="s">
        <v>71</v>
      </c>
    </row>
    <row r="24" spans="1:6" x14ac:dyDescent="0.35">
      <c r="A24" s="10" t="s">
        <v>7</v>
      </c>
      <c r="B24" s="10" t="s">
        <v>72</v>
      </c>
      <c r="C24" s="10" t="s">
        <v>55</v>
      </c>
      <c r="D24" s="10" t="s">
        <v>66</v>
      </c>
      <c r="E24" s="10" t="s">
        <v>73</v>
      </c>
      <c r="F24" s="10" t="s">
        <v>74</v>
      </c>
    </row>
    <row r="25" spans="1:6" x14ac:dyDescent="0.35">
      <c r="A25" s="10" t="s">
        <v>8</v>
      </c>
      <c r="B25" s="10" t="s">
        <v>75</v>
      </c>
      <c r="C25" s="10" t="s">
        <v>55</v>
      </c>
      <c r="D25" s="10" t="s">
        <v>66</v>
      </c>
      <c r="E25" s="10" t="s">
        <v>76</v>
      </c>
      <c r="F25" s="10" t="s">
        <v>77</v>
      </c>
    </row>
    <row r="26" spans="1:6" ht="29" x14ac:dyDescent="0.35">
      <c r="A26" s="10" t="s">
        <v>9</v>
      </c>
      <c r="B26" s="10" t="s">
        <v>78</v>
      </c>
      <c r="C26" s="10" t="s">
        <v>79</v>
      </c>
      <c r="D26" s="10" t="s">
        <v>80</v>
      </c>
      <c r="E26" s="10" t="s">
        <v>81</v>
      </c>
      <c r="F26" s="10" t="s">
        <v>82</v>
      </c>
    </row>
    <row r="27" spans="1:6" x14ac:dyDescent="0.35">
      <c r="A27" s="10" t="s">
        <v>10</v>
      </c>
      <c r="B27" s="10" t="s">
        <v>83</v>
      </c>
      <c r="C27" s="10" t="s">
        <v>55</v>
      </c>
      <c r="D27" s="10" t="s">
        <v>51</v>
      </c>
      <c r="E27" s="10" t="s">
        <v>84</v>
      </c>
      <c r="F27" s="10" t="s">
        <v>85</v>
      </c>
    </row>
    <row r="28" spans="1:6" x14ac:dyDescent="0.35">
      <c r="A28" s="10" t="s">
        <v>11</v>
      </c>
      <c r="B28" s="10" t="s">
        <v>86</v>
      </c>
      <c r="C28" s="10" t="s">
        <v>55</v>
      </c>
      <c r="D28" s="10" t="s">
        <v>87</v>
      </c>
      <c r="E28" s="10" t="s">
        <v>88</v>
      </c>
      <c r="F28" s="10" t="s">
        <v>89</v>
      </c>
    </row>
    <row r="29" spans="1:6" x14ac:dyDescent="0.35">
      <c r="A29" s="10" t="s">
        <v>12</v>
      </c>
      <c r="B29" s="10" t="s">
        <v>90</v>
      </c>
      <c r="C29" s="10" t="s">
        <v>55</v>
      </c>
      <c r="D29" s="10" t="s">
        <v>91</v>
      </c>
      <c r="E29" s="10" t="s">
        <v>92</v>
      </c>
      <c r="F29" s="10" t="s">
        <v>93</v>
      </c>
    </row>
    <row r="30" spans="1:6" x14ac:dyDescent="0.35">
      <c r="A30" s="10" t="s">
        <v>13</v>
      </c>
      <c r="B30" s="10" t="s">
        <v>94</v>
      </c>
      <c r="C30" s="10" t="s">
        <v>55</v>
      </c>
      <c r="D30" s="10" t="s">
        <v>95</v>
      </c>
      <c r="E30" s="10" t="s">
        <v>55</v>
      </c>
      <c r="F30" s="10" t="s">
        <v>96</v>
      </c>
    </row>
    <row r="31" spans="1:6" x14ac:dyDescent="0.35">
      <c r="A31" s="10" t="s">
        <v>14</v>
      </c>
      <c r="B31" s="10" t="s">
        <v>97</v>
      </c>
      <c r="C31" s="10" t="s">
        <v>98</v>
      </c>
      <c r="D31" s="10" t="s">
        <v>99</v>
      </c>
      <c r="E31" s="10" t="s">
        <v>100</v>
      </c>
      <c r="F31" s="10" t="s">
        <v>101</v>
      </c>
    </row>
    <row r="32" spans="1:6" x14ac:dyDescent="0.35">
      <c r="A32" s="10" t="s">
        <v>15</v>
      </c>
      <c r="B32" s="10" t="s">
        <v>102</v>
      </c>
      <c r="C32" s="10" t="s">
        <v>55</v>
      </c>
      <c r="D32" s="10" t="s">
        <v>103</v>
      </c>
      <c r="E32" s="10" t="s">
        <v>104</v>
      </c>
      <c r="F32" s="10" t="s">
        <v>105</v>
      </c>
    </row>
    <row r="33" spans="1:6" x14ac:dyDescent="0.35">
      <c r="A33" s="10" t="s">
        <v>16</v>
      </c>
      <c r="B33" s="10" t="s">
        <v>44</v>
      </c>
      <c r="C33" s="10" t="s">
        <v>55</v>
      </c>
      <c r="D33" s="10" t="s">
        <v>106</v>
      </c>
      <c r="E33" s="10" t="s">
        <v>107</v>
      </c>
      <c r="F33" s="10" t="s">
        <v>108</v>
      </c>
    </row>
    <row r="35" spans="1:6" ht="24" customHeight="1" x14ac:dyDescent="0.35">
      <c r="A35" s="7" t="s">
        <v>109</v>
      </c>
    </row>
    <row r="36" spans="1:6" x14ac:dyDescent="0.35">
      <c r="A36" s="9" t="s">
        <v>110</v>
      </c>
      <c r="B36" s="9" t="s">
        <v>111</v>
      </c>
      <c r="C36" s="9" t="s">
        <v>112</v>
      </c>
      <c r="D36" s="9" t="s">
        <v>44</v>
      </c>
    </row>
    <row r="37" spans="1:6" x14ac:dyDescent="0.35">
      <c r="A37" s="10" t="s">
        <v>63</v>
      </c>
      <c r="B37" s="10" t="s">
        <v>113</v>
      </c>
      <c r="C37" s="10" t="s">
        <v>114</v>
      </c>
      <c r="D37" s="10" t="s">
        <v>115</v>
      </c>
    </row>
    <row r="38" spans="1:6" x14ac:dyDescent="0.35">
      <c r="A38" s="10" t="s">
        <v>70</v>
      </c>
      <c r="B38" s="10" t="s">
        <v>116</v>
      </c>
      <c r="C38" s="10" t="s">
        <v>117</v>
      </c>
      <c r="D38" s="10" t="s">
        <v>118</v>
      </c>
    </row>
    <row r="39" spans="1:6" x14ac:dyDescent="0.35">
      <c r="A39" s="10" t="s">
        <v>119</v>
      </c>
      <c r="B39" s="10" t="s">
        <v>120</v>
      </c>
      <c r="C39" s="10" t="s">
        <v>114</v>
      </c>
      <c r="D39" s="10" t="s">
        <v>121</v>
      </c>
    </row>
    <row r="40" spans="1:6" ht="78" x14ac:dyDescent="0.35">
      <c r="A40" s="11" t="s">
        <v>122</v>
      </c>
    </row>
    <row r="42" spans="1:6" ht="24" customHeight="1" x14ac:dyDescent="0.35">
      <c r="A42" s="7" t="s">
        <v>123</v>
      </c>
    </row>
    <row r="43" spans="1:6" ht="43.5" x14ac:dyDescent="0.35">
      <c r="A43" s="8" t="s">
        <v>124</v>
      </c>
    </row>
    <row r="45" spans="1:6" ht="24" customHeight="1" x14ac:dyDescent="0.35">
      <c r="A45" s="7" t="s">
        <v>125</v>
      </c>
    </row>
    <row r="46" spans="1:6" ht="101.5" x14ac:dyDescent="0.35">
      <c r="A46" s="8" t="s">
        <v>126</v>
      </c>
    </row>
    <row r="48" spans="1:6" ht="24" customHeight="1" x14ac:dyDescent="0.35">
      <c r="A48" s="7" t="s">
        <v>127</v>
      </c>
    </row>
    <row r="49" spans="1:1" ht="29" x14ac:dyDescent="0.35">
      <c r="A49" s="8" t="s">
        <v>128</v>
      </c>
    </row>
    <row r="50" spans="1:1" ht="43.5" x14ac:dyDescent="0.35">
      <c r="A50" s="8" t="s">
        <v>129</v>
      </c>
    </row>
    <row r="51" spans="1:1" ht="29" x14ac:dyDescent="0.35">
      <c r="A51" s="8" t="s">
        <v>130</v>
      </c>
    </row>
    <row r="52" spans="1:1" ht="29" x14ac:dyDescent="0.35">
      <c r="A52" s="8" t="s">
        <v>131</v>
      </c>
    </row>
    <row r="53" spans="1:1" ht="43.5" x14ac:dyDescent="0.35">
      <c r="A53" s="8" t="s">
        <v>132</v>
      </c>
    </row>
    <row r="54" spans="1:1" ht="29" x14ac:dyDescent="0.35">
      <c r="A54" s="8" t="s">
        <v>133</v>
      </c>
    </row>
    <row r="56" spans="1:1" ht="24" customHeight="1" x14ac:dyDescent="0.35">
      <c r="A56" s="7" t="s">
        <v>134</v>
      </c>
    </row>
    <row r="57" spans="1:1" ht="29" x14ac:dyDescent="0.35">
      <c r="A57" s="8" t="s">
        <v>135</v>
      </c>
    </row>
    <row r="58" spans="1:1" ht="29" x14ac:dyDescent="0.35">
      <c r="A58" s="8" t="s">
        <v>136</v>
      </c>
    </row>
    <row r="59" spans="1:1" ht="43.5" x14ac:dyDescent="0.35">
      <c r="A59" s="8" t="s">
        <v>137</v>
      </c>
    </row>
    <row r="60" spans="1:1" ht="43.5" x14ac:dyDescent="0.35">
      <c r="A60" s="8" t="s">
        <v>138</v>
      </c>
    </row>
    <row r="62" spans="1:1" ht="24" customHeight="1" x14ac:dyDescent="0.35">
      <c r="A62" s="7" t="s">
        <v>139</v>
      </c>
    </row>
    <row r="63" spans="1:1" ht="58" x14ac:dyDescent="0.35">
      <c r="A63" s="8" t="s">
        <v>140</v>
      </c>
    </row>
    <row r="64" spans="1:1" ht="58" x14ac:dyDescent="0.35">
      <c r="A64" s="8" t="s">
        <v>141</v>
      </c>
    </row>
    <row r="65" spans="1:1" ht="43.5" x14ac:dyDescent="0.35">
      <c r="A65" s="8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"/>
  <sheetViews>
    <sheetView rightToLeft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6" style="12" customWidth="1"/>
    <col min="2" max="2" width="36" style="12" customWidth="1"/>
    <col min="3" max="3" width="18" style="12" customWidth="1"/>
    <col min="4" max="4" width="22" style="12" customWidth="1"/>
    <col min="5" max="5" width="16" style="12" customWidth="1"/>
    <col min="6" max="6" width="14" style="4" customWidth="1"/>
    <col min="7" max="7" width="16" style="12" customWidth="1"/>
    <col min="8" max="9" width="16" style="3" customWidth="1"/>
    <col min="10" max="10" width="12" style="12" customWidth="1"/>
    <col min="11" max="11" width="18" style="12" customWidth="1"/>
    <col min="12" max="12" width="16" style="2" customWidth="1"/>
    <col min="13" max="13" width="16" style="5" customWidth="1"/>
    <col min="14" max="14" width="22" style="12" customWidth="1"/>
    <col min="15" max="15" width="16" style="12" customWidth="1"/>
    <col min="16" max="16" width="20" style="12" customWidth="1"/>
    <col min="17" max="17" width="36" style="12" customWidth="1"/>
  </cols>
  <sheetData>
    <row r="1" spans="1:17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48</v>
      </c>
      <c r="B2" t="s">
        <v>52</v>
      </c>
      <c r="C2" t="s">
        <v>56</v>
      </c>
      <c r="D2" t="s">
        <v>59</v>
      </c>
      <c r="E2" t="s">
        <v>63</v>
      </c>
      <c r="F2">
        <v>24</v>
      </c>
      <c r="G2" t="s">
        <v>70</v>
      </c>
      <c r="H2">
        <v>210</v>
      </c>
      <c r="I2">
        <v>350</v>
      </c>
      <c r="J2" t="s">
        <v>81</v>
      </c>
      <c r="K2" t="s">
        <v>84</v>
      </c>
      <c r="L2" t="s">
        <v>88</v>
      </c>
      <c r="M2">
        <v>6</v>
      </c>
      <c r="N2" t="s">
        <v>55</v>
      </c>
      <c r="O2" t="s">
        <v>100</v>
      </c>
      <c r="P2" t="s">
        <v>104</v>
      </c>
      <c r="Q2" t="s">
        <v>107</v>
      </c>
    </row>
    <row r="3" spans="1:17" x14ac:dyDescent="0.35">
      <c r="A3" t="s">
        <v>143</v>
      </c>
      <c r="B3" t="s">
        <v>144</v>
      </c>
      <c r="C3" t="s">
        <v>145</v>
      </c>
      <c r="D3" t="s">
        <v>146</v>
      </c>
      <c r="E3" t="s">
        <v>119</v>
      </c>
      <c r="F3">
        <v>40</v>
      </c>
      <c r="G3" t="s">
        <v>119</v>
      </c>
      <c r="H3">
        <v>18.75</v>
      </c>
      <c r="I3">
        <v>25</v>
      </c>
      <c r="J3" t="s">
        <v>147</v>
      </c>
      <c r="K3" t="s">
        <v>148</v>
      </c>
      <c r="L3" t="s">
        <v>149</v>
      </c>
      <c r="M3">
        <v>10</v>
      </c>
      <c r="N3" t="s">
        <v>46</v>
      </c>
      <c r="O3" t="s">
        <v>150</v>
      </c>
      <c r="Q3" t="s">
        <v>151</v>
      </c>
    </row>
    <row r="4" spans="1:17" x14ac:dyDescent="0.35">
      <c r="A4" t="s">
        <v>152</v>
      </c>
      <c r="B4" t="s">
        <v>153</v>
      </c>
      <c r="C4" t="s">
        <v>154</v>
      </c>
      <c r="D4" t="s">
        <v>155</v>
      </c>
      <c r="E4" t="s">
        <v>63</v>
      </c>
      <c r="F4">
        <v>12</v>
      </c>
      <c r="G4" t="s">
        <v>70</v>
      </c>
      <c r="H4">
        <v>9.5</v>
      </c>
      <c r="I4">
        <v>15</v>
      </c>
      <c r="J4" t="s">
        <v>81</v>
      </c>
      <c r="M4">
        <v>3</v>
      </c>
      <c r="N4" t="s">
        <v>55</v>
      </c>
    </row>
    <row r="6" spans="1:17" ht="65" x14ac:dyDescent="0.35">
      <c r="A6" s="11" t="s">
        <v>156</v>
      </c>
    </row>
  </sheetData>
  <autoFilter ref="A1:Q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rightToLeft="1" workbookViewId="0">
      <pane ySplit="1" topLeftCell="A16" activePane="bottomLeft" state="frozen"/>
      <selection pane="bottomLeft" activeCell="A2" sqref="A2"/>
    </sheetView>
  </sheetViews>
  <sheetFormatPr defaultRowHeight="14.5" x14ac:dyDescent="0.35"/>
  <cols>
    <col min="1" max="1" width="44" customWidth="1"/>
    <col min="2" max="2" width="22" customWidth="1"/>
    <col min="3" max="3" width="66" customWidth="1"/>
  </cols>
  <sheetData>
    <row r="1" spans="1:3" ht="30" customHeight="1" x14ac:dyDescent="0.35">
      <c r="A1" s="6" t="s">
        <v>157</v>
      </c>
    </row>
    <row r="2" spans="1:3" ht="26" x14ac:dyDescent="0.35">
      <c r="A2" s="11" t="s">
        <v>158</v>
      </c>
    </row>
    <row r="4" spans="1:3" ht="24" customHeight="1" x14ac:dyDescent="0.35">
      <c r="A4" s="7" t="s">
        <v>159</v>
      </c>
    </row>
    <row r="5" spans="1:3" x14ac:dyDescent="0.35">
      <c r="A5" s="9" t="s">
        <v>160</v>
      </c>
      <c r="B5" s="9" t="s">
        <v>161</v>
      </c>
      <c r="C5" s="9" t="s">
        <v>162</v>
      </c>
    </row>
    <row r="6" spans="1:3" x14ac:dyDescent="0.35">
      <c r="A6" s="7" t="s">
        <v>163</v>
      </c>
      <c r="B6" s="5">
        <f>COUNTA('الأرصدة الافتتاحية'!A2:A4977)</f>
        <v>198</v>
      </c>
      <c r="C6" s="8" t="s">
        <v>164</v>
      </c>
    </row>
    <row r="7" spans="1:3" x14ac:dyDescent="0.35">
      <c r="A7" s="7" t="s">
        <v>165</v>
      </c>
      <c r="B7" s="4">
        <f>SUM('الأرصدة الافتتاحية'!F2:F4977)</f>
        <v>11803</v>
      </c>
      <c r="C7" s="8" t="s">
        <v>166</v>
      </c>
    </row>
    <row r="8" spans="1:3" x14ac:dyDescent="0.35">
      <c r="A8" s="7" t="s">
        <v>167</v>
      </c>
      <c r="B8" s="5">
        <f>COUNT('الأرصدة الافتتاحية'!H2:H4977)</f>
        <v>198</v>
      </c>
      <c r="C8" s="8" t="s">
        <v>168</v>
      </c>
    </row>
    <row r="9" spans="1:3" ht="29" x14ac:dyDescent="0.35">
      <c r="A9" s="7" t="s">
        <v>169</v>
      </c>
      <c r="B9" s="3">
        <f>SUMPRODUCT('الأرصدة الافتتاحية'!F2:F4977,'الأرصدة الافتتاحية'!H2:H4977)</f>
        <v>34788.330000000016</v>
      </c>
      <c r="C9" s="8" t="s">
        <v>170</v>
      </c>
    </row>
    <row r="11" spans="1:3" ht="24" customHeight="1" x14ac:dyDescent="0.35">
      <c r="A11" s="7" t="s">
        <v>171</v>
      </c>
    </row>
    <row r="12" spans="1:3" x14ac:dyDescent="0.35">
      <c r="A12" s="9" t="s">
        <v>160</v>
      </c>
      <c r="B12" s="9" t="s">
        <v>161</v>
      </c>
      <c r="C12" s="9" t="s">
        <v>162</v>
      </c>
    </row>
    <row r="13" spans="1:3" x14ac:dyDescent="0.35">
      <c r="A13" s="7" t="s">
        <v>172</v>
      </c>
      <c r="B13" s="3"/>
      <c r="C13" s="8" t="s">
        <v>173</v>
      </c>
    </row>
    <row r="14" spans="1:3" x14ac:dyDescent="0.35">
      <c r="A14" s="7" t="s">
        <v>174</v>
      </c>
      <c r="B14" s="3">
        <f>B9</f>
        <v>34788.330000000016</v>
      </c>
      <c r="C14" s="8" t="s">
        <v>175</v>
      </c>
    </row>
    <row r="15" spans="1:3" x14ac:dyDescent="0.35">
      <c r="A15" s="7" t="s">
        <v>176</v>
      </c>
      <c r="B15" s="3">
        <f>B13-B14</f>
        <v>-34788.330000000016</v>
      </c>
      <c r="C15" s="8" t="s">
        <v>177</v>
      </c>
    </row>
    <row r="17" spans="1:3" ht="24" customHeight="1" x14ac:dyDescent="0.35">
      <c r="A17" s="7" t="s">
        <v>178</v>
      </c>
    </row>
    <row r="18" spans="1:3" x14ac:dyDescent="0.35">
      <c r="A18" s="9" t="s">
        <v>179</v>
      </c>
      <c r="B18" s="9" t="s">
        <v>161</v>
      </c>
      <c r="C18" s="9" t="s">
        <v>180</v>
      </c>
    </row>
    <row r="19" spans="1:3" x14ac:dyDescent="0.35">
      <c r="A19" s="10" t="s">
        <v>181</v>
      </c>
      <c r="B19" s="10"/>
      <c r="C19" s="10" t="s">
        <v>182</v>
      </c>
    </row>
    <row r="20" spans="1:3" x14ac:dyDescent="0.35">
      <c r="A20" s="10" t="s">
        <v>183</v>
      </c>
      <c r="B20" s="10"/>
      <c r="C20" s="10" t="s">
        <v>87</v>
      </c>
    </row>
    <row r="21" spans="1:3" x14ac:dyDescent="0.35">
      <c r="A21" s="10" t="s">
        <v>184</v>
      </c>
      <c r="B21" s="10"/>
      <c r="C21" s="10" t="s">
        <v>185</v>
      </c>
    </row>
    <row r="22" spans="1:3" x14ac:dyDescent="0.35">
      <c r="A22" s="10" t="s">
        <v>186</v>
      </c>
      <c r="B22" s="10"/>
      <c r="C22" s="10" t="s">
        <v>87</v>
      </c>
    </row>
    <row r="23" spans="1:3" x14ac:dyDescent="0.35">
      <c r="A23" s="10" t="s">
        <v>187</v>
      </c>
      <c r="B23" s="10"/>
      <c r="C23" s="10" t="s">
        <v>188</v>
      </c>
    </row>
    <row r="25" spans="1:3" ht="26" x14ac:dyDescent="0.35">
      <c r="A25" s="1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الأرصدة الافتتاحية</vt:lpstr>
      <vt:lpstr>الإرشادات</vt:lpstr>
      <vt:lpstr>أمثلة</vt:lpstr>
      <vt:lpstr>المطابقة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قالب الأرصدة الافتتاحية للمخزون — رويال العالمية للتجارة</dc:title>
  <dc:creator>رويال العالمية للتجارة</dc:creator>
  <cp:lastModifiedBy>yaqoup sahal</cp:lastModifiedBy>
  <dcterms:created xsi:type="dcterms:W3CDTF">2026-09-25T00:00:00Z</dcterms:created>
  <dcterms:modified xsi:type="dcterms:W3CDTF">2026-09-28T20:32:47Z</dcterms:modified>
</cp:coreProperties>
</file>